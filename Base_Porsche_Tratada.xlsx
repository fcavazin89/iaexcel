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Tratada" sheetId="1" state="visible" r:id="rId1"/>
    <sheet xmlns:r="http://schemas.openxmlformats.org/officeDocument/2006/relationships" name="Dicionário" sheetId="2" state="visible" r:id="rId2"/>
    <sheet xmlns:r="http://schemas.openxmlformats.org/officeDocument/2006/relationships" name="Tratamento" sheetId="3" state="visible" r:id="rId3"/>
    <sheet xmlns:r="http://schemas.openxmlformats.org/officeDocument/2006/relationships" name="Perguntas" sheetId="4" state="visible" r:id="rId4"/>
    <sheet xmlns:r="http://schemas.openxmlformats.org/officeDocument/2006/relationships" name="Resumo" sheetId="5" state="visible" r:id="rId5"/>
  </sheets>
  <definedNames>
    <definedName name="_xlnm._FilterDatabase" localSheetId="0" hidden="1">'Base Tratada'!$A$4:$O$104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 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b val="1"/>
      <color rgb="00FFFFFF"/>
      <sz val="9.5"/>
    </font>
    <font>
      <name val="Calibri"/>
      <color rgb="001F2937"/>
      <sz val="10"/>
    </font>
    <font>
      <name val="Calibri"/>
      <color rgb="00B45309"/>
      <sz val="10"/>
    </font>
    <font>
      <name val="Calibri"/>
      <color rgb="000B5E0B"/>
      <sz val="10"/>
    </font>
    <font>
      <name val="Calibri"/>
      <b val="1"/>
      <color rgb="00FFFFFF"/>
      <sz val="10.5"/>
    </font>
    <font>
      <name val="Calibri"/>
      <b val="1"/>
      <color rgb="00FFFFFF"/>
      <sz val="10"/>
    </font>
    <font>
      <name val="Calibri"/>
      <b val="1"/>
      <color rgb="001F2937"/>
      <sz val="10"/>
    </font>
    <font>
      <name val="Calibri"/>
      <color rgb="006B7280"/>
      <sz val="10"/>
    </font>
    <font>
      <name val="Calibri"/>
      <b val="1"/>
      <color rgb="00D5001C"/>
      <sz val="11"/>
    </font>
    <font>
      <name val="Calibri"/>
      <i val="1"/>
      <color rgb="006B7280"/>
      <sz val="10"/>
    </font>
    <font>
      <name val="Calibri"/>
      <color rgb="006B7280"/>
      <sz val="9.5"/>
    </font>
    <font>
      <name val="Calibri"/>
      <color rgb="000B5E0B"/>
      <sz val="9.5"/>
    </font>
    <font>
      <name val="Calibri"/>
      <i val="1"/>
      <color rgb="006B7280"/>
      <sz val="9.5"/>
    </font>
  </fonts>
  <fills count="6">
    <fill>
      <patternFill/>
    </fill>
    <fill>
      <patternFill patternType="gray125"/>
    </fill>
    <fill>
      <patternFill patternType="solid">
        <fgColor rgb="001B1B1B"/>
        <bgColor rgb="001B1B1B"/>
      </patternFill>
    </fill>
    <fill>
      <patternFill patternType="solid">
        <fgColor rgb="002E2E2E"/>
        <bgColor rgb="002E2E2E"/>
      </patternFill>
    </fill>
    <fill>
      <patternFill patternType="solid">
        <fgColor rgb="00FAFAFA"/>
        <bgColor rgb="00FAFAFA"/>
      </patternFill>
    </fill>
    <fill>
      <patternFill patternType="solid">
        <fgColor rgb="00D5001C"/>
        <bgColor rgb="00D5001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001C"/>
    <outlinePr summaryBelow="1" summaryRight="1"/>
    <pageSetUpPr fitToPage="1"/>
  </sheetPr>
  <dimension ref="A1:O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9" customWidth="1" min="4" max="4"/>
    <col width="11" customWidth="1" min="5" max="5"/>
    <col width="12.5" customWidth="1" min="6" max="6"/>
    <col width="11" customWidth="1" min="7" max="7"/>
    <col width="13" customWidth="1" min="8" max="8"/>
    <col width="13" customWidth="1" min="9" max="9"/>
    <col width="22" customWidth="1" min="10" max="10"/>
    <col width="14" customWidth="1" min="11" max="11"/>
    <col width="6.5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1" t="inlineStr">
        <is>
          <t>PORSCHE — BASE DE VENDAS TRATADA (100 registros)</t>
        </is>
      </c>
    </row>
    <row r="2" ht="16" customHeight="1">
      <c r="A2" s="2" t="inlineStr">
        <is>
          <t>Tratada a partir da planilha oficial do desafio (aba Sanitized). Sem dados pessoais. Detalhes nas abas Dicionário e Tratamento.</t>
        </is>
      </c>
    </row>
    <row r="4" ht="28" customHeight="1">
      <c r="A4" s="3" t="inlineStr">
        <is>
          <t>ID da venda</t>
        </is>
      </c>
      <c r="B4" s="3" t="inlineStr">
        <is>
          <t>Data da venda</t>
        </is>
      </c>
      <c r="C4" s="3" t="inlineStr">
        <is>
          <t>Data válida?</t>
        </is>
      </c>
      <c r="D4" s="3" t="inlineStr">
        <is>
          <t>Modelo</t>
        </is>
      </c>
      <c r="E4" s="3" t="inlineStr">
        <is>
          <t>Família</t>
        </is>
      </c>
      <c r="F4" s="3" t="inlineStr">
        <is>
          <t>Combustível</t>
        </is>
      </c>
      <c r="G4" s="3" t="inlineStr">
        <is>
          <t>Ano-modelo</t>
        </is>
      </c>
      <c r="H4" s="3" t="inlineStr">
        <is>
          <t>Preço (US$)</t>
        </is>
      </c>
      <c r="I4" s="3" t="inlineStr">
        <is>
          <t>Quilometragem (mi)</t>
        </is>
      </c>
      <c r="J4" s="3" t="inlineStr">
        <is>
          <t>Método de pagamento</t>
        </is>
      </c>
      <c r="K4" s="3" t="inlineStr">
        <is>
          <t>Cidade</t>
        </is>
      </c>
      <c r="L4" s="3" t="inlineStr">
        <is>
          <t>UF</t>
        </is>
      </c>
      <c r="M4" s="3" t="inlineStr">
        <is>
          <t>Região</t>
        </is>
      </c>
      <c r="N4" s="3" t="inlineStr">
        <is>
          <t>Status da entrega</t>
        </is>
      </c>
      <c r="O4" s="3" t="inlineStr">
        <is>
          <t>Grupo do status</t>
        </is>
      </c>
    </row>
    <row r="5">
      <c r="A5" s="4" t="n">
        <v>6</v>
      </c>
      <c r="B5" s="4" t="n"/>
      <c r="C5" s="5" t="inlineStr">
        <is>
          <t>Não</t>
        </is>
      </c>
      <c r="D5" s="6" t="inlineStr">
        <is>
          <t>718 Cayman</t>
        </is>
      </c>
      <c r="E5" s="4" t="inlineStr">
        <is>
          <t>718</t>
        </is>
      </c>
      <c r="F5" s="4" t="inlineStr">
        <is>
          <t>Combustão</t>
        </is>
      </c>
      <c r="G5" s="4" t="n">
        <v>2022</v>
      </c>
      <c r="H5" s="7" t="n">
        <v>79500</v>
      </c>
      <c r="I5" s="8" t="n">
        <v>9800</v>
      </c>
      <c r="J5" s="6" t="inlineStr">
        <is>
          <t>Cartão de crédito</t>
        </is>
      </c>
      <c r="K5" s="6" t="inlineStr">
        <is>
          <t>Boston</t>
        </is>
      </c>
      <c r="L5" s="4" t="inlineStr">
        <is>
          <t>MA</t>
        </is>
      </c>
      <c r="M5" s="4" t="inlineStr">
        <is>
          <t>Nordeste</t>
        </is>
      </c>
      <c r="N5" s="6" t="inlineStr">
        <is>
          <t>Entregue</t>
        </is>
      </c>
      <c r="O5" s="4" t="inlineStr">
        <is>
          <t>Entregue</t>
        </is>
      </c>
    </row>
    <row r="6">
      <c r="A6" s="9" t="n">
        <v>7</v>
      </c>
      <c r="B6" s="9" t="inlineStr">
        <is>
          <t>2024-03-14</t>
        </is>
      </c>
      <c r="C6" s="10" t="inlineStr">
        <is>
          <t>Sim</t>
        </is>
      </c>
      <c r="D6" s="11" t="inlineStr">
        <is>
          <t>911 Turbo S</t>
        </is>
      </c>
      <c r="E6" s="9" t="inlineStr">
        <is>
          <t>911</t>
        </is>
      </c>
      <c r="F6" s="9" t="inlineStr">
        <is>
          <t>Combustão</t>
        </is>
      </c>
      <c r="G6" s="9" t="n">
        <v>2024</v>
      </c>
      <c r="H6" s="12" t="n">
        <v>235000</v>
      </c>
      <c r="I6" s="13" t="n">
        <v>1200</v>
      </c>
      <c r="J6" s="11" t="inlineStr">
        <is>
          <t>Transferência (wire)</t>
        </is>
      </c>
      <c r="K6" s="11" t="inlineStr">
        <is>
          <t>Seattle</t>
        </is>
      </c>
      <c r="L6" s="9" t="inlineStr">
        <is>
          <t>WA</t>
        </is>
      </c>
      <c r="M6" s="9" t="inlineStr">
        <is>
          <t>Oeste</t>
        </is>
      </c>
      <c r="N6" s="11" t="inlineStr">
        <is>
          <t>Entregue</t>
        </is>
      </c>
      <c r="O6" s="9" t="inlineStr">
        <is>
          <t>Entregue</t>
        </is>
      </c>
    </row>
    <row r="7">
      <c r="A7" s="4" t="n">
        <v>8</v>
      </c>
      <c r="B7" s="4" t="inlineStr">
        <is>
          <t>2024-04-18</t>
        </is>
      </c>
      <c r="C7" s="14" t="inlineStr">
        <is>
          <t>Sim</t>
        </is>
      </c>
      <c r="D7" s="6" t="inlineStr">
        <is>
          <t>Cayenne Coupe</t>
        </is>
      </c>
      <c r="E7" s="4" t="inlineStr">
        <is>
          <t>Cayenne</t>
        </is>
      </c>
      <c r="F7" s="4" t="inlineStr">
        <is>
          <t>Combustão</t>
        </is>
      </c>
      <c r="G7" s="4" t="n">
        <v>2023</v>
      </c>
      <c r="H7" s="7" t="n">
        <v>112750</v>
      </c>
      <c r="I7" s="8" t="n">
        <v>6400</v>
      </c>
      <c r="J7" s="6" t="inlineStr">
        <is>
          <t>Financiamento</t>
        </is>
      </c>
      <c r="K7" s="6" t="inlineStr">
        <is>
          <t>Austin</t>
        </is>
      </c>
      <c r="L7" s="4" t="inlineStr">
        <is>
          <t>TX</t>
        </is>
      </c>
      <c r="M7" s="4" t="inlineStr">
        <is>
          <t>Sul</t>
        </is>
      </c>
      <c r="N7" s="6" t="inlineStr">
        <is>
          <t>Em trânsito</t>
        </is>
      </c>
      <c r="O7" s="4" t="inlineStr">
        <is>
          <t>Em trânsito</t>
        </is>
      </c>
    </row>
    <row r="8">
      <c r="A8" s="9" t="n">
        <v>9</v>
      </c>
      <c r="B8" s="9" t="n"/>
      <c r="C8" s="15" t="inlineStr">
        <is>
          <t>Não</t>
        </is>
      </c>
      <c r="D8" s="11" t="inlineStr">
        <is>
          <t>Macan S</t>
        </is>
      </c>
      <c r="E8" s="9" t="inlineStr">
        <is>
          <t>Macan</t>
        </is>
      </c>
      <c r="F8" s="9" t="inlineStr">
        <is>
          <t>Combustão</t>
        </is>
      </c>
      <c r="G8" s="9" t="n">
        <v>2021</v>
      </c>
      <c r="H8" s="12" t="n">
        <v>68900</v>
      </c>
      <c r="I8" s="13" t="n">
        <v>28</v>
      </c>
      <c r="J8" s="11" t="inlineStr">
        <is>
          <t>Dinheiro</t>
        </is>
      </c>
      <c r="K8" s="11" t="inlineStr">
        <is>
          <t>Denver</t>
        </is>
      </c>
      <c r="L8" s="9" t="inlineStr">
        <is>
          <t>CO</t>
        </is>
      </c>
      <c r="M8" s="9" t="inlineStr">
        <is>
          <t>Oeste</t>
        </is>
      </c>
      <c r="N8" s="11" t="inlineStr">
        <is>
          <t>Pendente</t>
        </is>
      </c>
      <c r="O8" s="9" t="inlineStr">
        <is>
          <t>Pendente</t>
        </is>
      </c>
    </row>
    <row r="9">
      <c r="A9" s="4" t="n">
        <v>10</v>
      </c>
      <c r="B9" s="4" t="inlineStr">
        <is>
          <t>2024-05-22</t>
        </is>
      </c>
      <c r="C9" s="14" t="inlineStr">
        <is>
          <t>Sim</t>
        </is>
      </c>
      <c r="D9" s="6" t="inlineStr">
        <is>
          <t>Taycan 4S</t>
        </is>
      </c>
      <c r="E9" s="4" t="inlineStr">
        <is>
          <t>Taycan</t>
        </is>
      </c>
      <c r="F9" s="4" t="inlineStr">
        <is>
          <t>Elétrico</t>
        </is>
      </c>
      <c r="G9" s="4" t="n">
        <v>2024</v>
      </c>
      <c r="H9" s="7" t="n">
        <v>121000</v>
      </c>
      <c r="I9" s="8" t="n">
        <v>0</v>
      </c>
      <c r="J9" s="6" t="inlineStr">
        <is>
          <t>Transferência bancária</t>
        </is>
      </c>
      <c r="K9" s="6" t="inlineStr">
        <is>
          <t>Los Angeles</t>
        </is>
      </c>
      <c r="L9" s="4" t="inlineStr">
        <is>
          <t>CA</t>
        </is>
      </c>
      <c r="M9" s="4" t="inlineStr">
        <is>
          <t>Oeste</t>
        </is>
      </c>
      <c r="N9" s="6" t="inlineStr">
        <is>
          <t>Entregue</t>
        </is>
      </c>
      <c r="O9" s="4" t="inlineStr">
        <is>
          <t>Entregue</t>
        </is>
      </c>
    </row>
    <row r="10">
      <c r="A10" s="9" t="n">
        <v>11</v>
      </c>
      <c r="B10" s="9" t="inlineStr">
        <is>
          <t>2024-08-06</t>
        </is>
      </c>
      <c r="C10" s="10" t="inlineStr">
        <is>
          <t>Sim</t>
        </is>
      </c>
      <c r="D10" s="11" t="inlineStr">
        <is>
          <t>Panamera 4</t>
        </is>
      </c>
      <c r="E10" s="9" t="inlineStr">
        <is>
          <t>Panamera</t>
        </is>
      </c>
      <c r="F10" s="9" t="inlineStr">
        <is>
          <t>Combustão</t>
        </is>
      </c>
      <c r="G10" s="9" t="n">
        <v>2023</v>
      </c>
      <c r="H10" s="12" t="n">
        <v>104500</v>
      </c>
      <c r="I10" s="13" t="n">
        <v>14500</v>
      </c>
      <c r="J10" s="11" t="inlineStr">
        <is>
          <t>Cartão de crédito</t>
        </is>
      </c>
      <c r="K10" s="11" t="inlineStr">
        <is>
          <t>Miami</t>
        </is>
      </c>
      <c r="L10" s="9" t="inlineStr">
        <is>
          <t>FL</t>
        </is>
      </c>
      <c r="M10" s="9" t="inlineStr">
        <is>
          <t>Sul</t>
        </is>
      </c>
      <c r="N10" s="11" t="inlineStr">
        <is>
          <t>Cancelado</t>
        </is>
      </c>
      <c r="O10" s="9" t="inlineStr">
        <is>
          <t>Cancelado</t>
        </is>
      </c>
    </row>
    <row r="11">
      <c r="A11" s="4" t="n">
        <v>12</v>
      </c>
      <c r="B11" s="4" t="inlineStr">
        <is>
          <t>2024-07-11</t>
        </is>
      </c>
      <c r="C11" s="14" t="inlineStr">
        <is>
          <t>Sim</t>
        </is>
      </c>
      <c r="D11" s="6" t="inlineStr">
        <is>
          <t>911 Carrera S</t>
        </is>
      </c>
      <c r="E11" s="4" t="inlineStr">
        <is>
          <t>911</t>
        </is>
      </c>
      <c r="F11" s="4" t="inlineStr">
        <is>
          <t>Combustão</t>
        </is>
      </c>
      <c r="G11" s="4" t="n">
        <v>2020</v>
      </c>
      <c r="H11" s="7" t="n">
        <v>96300</v>
      </c>
      <c r="I11" s="8" t="n">
        <v>41000</v>
      </c>
      <c r="J11" s="6" t="inlineStr">
        <is>
          <t>Locação (leasing)</t>
        </is>
      </c>
      <c r="K11" s="6" t="inlineStr">
        <is>
          <t>New York</t>
        </is>
      </c>
      <c r="L11" s="4" t="inlineStr">
        <is>
          <t>NY</t>
        </is>
      </c>
      <c r="M11" s="4" t="inlineStr">
        <is>
          <t>Nordeste</t>
        </is>
      </c>
      <c r="N11" s="6" t="inlineStr">
        <is>
          <t>Entregue</t>
        </is>
      </c>
      <c r="O11" s="4" t="inlineStr">
        <is>
          <t>Entregue</t>
        </is>
      </c>
    </row>
    <row r="12">
      <c r="A12" s="9" t="n">
        <v>13</v>
      </c>
      <c r="B12" s="9" t="n"/>
      <c r="C12" s="15" t="inlineStr">
        <is>
          <t>Não</t>
        </is>
      </c>
      <c r="D12" s="11" t="inlineStr">
        <is>
          <t>Cayenne E-Hybrid</t>
        </is>
      </c>
      <c r="E12" s="9" t="inlineStr">
        <is>
          <t>Cayenne</t>
        </is>
      </c>
      <c r="F12" s="9" t="inlineStr">
        <is>
          <t>Híbrido</t>
        </is>
      </c>
      <c r="G12" s="9" t="n">
        <v>2022</v>
      </c>
      <c r="H12" s="12" t="n">
        <v>89750</v>
      </c>
      <c r="I12" s="13" t="n">
        <v>11744</v>
      </c>
      <c r="J12" s="11" t="inlineStr">
        <is>
          <t>Transferência (wire)</t>
        </is>
      </c>
      <c r="K12" s="11" t="inlineStr">
        <is>
          <t>San Diego</t>
        </is>
      </c>
      <c r="L12" s="9" t="inlineStr">
        <is>
          <t>CA</t>
        </is>
      </c>
      <c r="M12" s="9" t="inlineStr">
        <is>
          <t>Oeste</t>
        </is>
      </c>
      <c r="N12" s="11" t="inlineStr">
        <is>
          <t>Aguardando aprovação</t>
        </is>
      </c>
      <c r="O12" s="9" t="inlineStr">
        <is>
          <t>Pendente</t>
        </is>
      </c>
    </row>
    <row r="13">
      <c r="A13" s="4" t="n">
        <v>14</v>
      </c>
      <c r="B13" s="4" t="inlineStr">
        <is>
          <t>2024-08-19</t>
        </is>
      </c>
      <c r="C13" s="14" t="inlineStr">
        <is>
          <t>Sim</t>
        </is>
      </c>
      <c r="D13" s="6" t="inlineStr">
        <is>
          <t>718 Boxster</t>
        </is>
      </c>
      <c r="E13" s="4" t="inlineStr">
        <is>
          <t>718</t>
        </is>
      </c>
      <c r="F13" s="4" t="inlineStr">
        <is>
          <t>Combustão</t>
        </is>
      </c>
      <c r="G13" s="4" t="n">
        <v>2021</v>
      </c>
      <c r="H13" s="7" t="n">
        <v>73500</v>
      </c>
      <c r="I13" s="8" t="n">
        <v>22300</v>
      </c>
      <c r="J13" s="6" t="inlineStr">
        <is>
          <t>Cartão de débito</t>
        </is>
      </c>
      <c r="K13" s="6" t="inlineStr">
        <is>
          <t>Chicago</t>
        </is>
      </c>
      <c r="L13" s="4" t="inlineStr">
        <is>
          <t>IL</t>
        </is>
      </c>
      <c r="M13" s="4" t="inlineStr">
        <is>
          <t>Centro-Oeste</t>
        </is>
      </c>
      <c r="N13" s="6" t="inlineStr">
        <is>
          <t>Enviado</t>
        </is>
      </c>
      <c r="O13" s="4" t="inlineStr">
        <is>
          <t>Em trânsito</t>
        </is>
      </c>
    </row>
    <row r="14">
      <c r="A14" s="9" t="n">
        <v>15</v>
      </c>
      <c r="B14" s="9" t="inlineStr">
        <is>
          <t>2024-09-02</t>
        </is>
      </c>
      <c r="C14" s="10" t="inlineStr">
        <is>
          <t>Sim</t>
        </is>
      </c>
      <c r="D14" s="11" t="inlineStr">
        <is>
          <t>Macan GTS</t>
        </is>
      </c>
      <c r="E14" s="9" t="inlineStr">
        <is>
          <t>Macan</t>
        </is>
      </c>
      <c r="F14" s="9" t="inlineStr">
        <is>
          <t>Combustão</t>
        </is>
      </c>
      <c r="G14" s="9" t="n">
        <v>2024</v>
      </c>
      <c r="H14" s="12" t="n">
        <v>95000</v>
      </c>
      <c r="I14" s="13" t="n">
        <v>3500</v>
      </c>
      <c r="J14" s="11" t="inlineStr">
        <is>
          <t>Financiamento</t>
        </is>
      </c>
      <c r="K14" s="11" t="inlineStr">
        <is>
          <t>Phoenix</t>
        </is>
      </c>
      <c r="L14" s="9" t="inlineStr">
        <is>
          <t>AZ</t>
        </is>
      </c>
      <c r="M14" s="9" t="inlineStr">
        <is>
          <t>Oeste</t>
        </is>
      </c>
      <c r="N14" s="11" t="inlineStr">
        <is>
          <t>Em trânsito</t>
        </is>
      </c>
      <c r="O14" s="9" t="inlineStr">
        <is>
          <t>Em trânsito</t>
        </is>
      </c>
    </row>
    <row r="15">
      <c r="A15" s="4" t="n">
        <v>16</v>
      </c>
      <c r="B15" s="4" t="inlineStr">
        <is>
          <t>2024-09-17</t>
        </is>
      </c>
      <c r="C15" s="14" t="inlineStr">
        <is>
          <t>Sim</t>
        </is>
      </c>
      <c r="D15" s="6" t="inlineStr">
        <is>
          <t>Taycan Turbo</t>
        </is>
      </c>
      <c r="E15" s="4" t="inlineStr">
        <is>
          <t>Taycan</t>
        </is>
      </c>
      <c r="F15" s="4" t="inlineStr">
        <is>
          <t>Elétrico</t>
        </is>
      </c>
      <c r="G15" s="4" t="n">
        <v>2023</v>
      </c>
      <c r="H15" s="7" t="n">
        <v>153200.5</v>
      </c>
      <c r="I15" s="8" t="n">
        <v>11</v>
      </c>
      <c r="J15" s="6" t="inlineStr">
        <is>
          <t>ACH</t>
        </is>
      </c>
      <c r="K15" s="6" t="inlineStr">
        <is>
          <t>Dallas</t>
        </is>
      </c>
      <c r="L15" s="4" t="inlineStr">
        <is>
          <t>TX</t>
        </is>
      </c>
      <c r="M15" s="4" t="inlineStr">
        <is>
          <t>Sul</t>
        </is>
      </c>
      <c r="N15" s="6" t="inlineStr">
        <is>
          <t>Entregue</t>
        </is>
      </c>
      <c r="O15" s="4" t="inlineStr">
        <is>
          <t>Entregue</t>
        </is>
      </c>
    </row>
    <row r="16">
      <c r="A16" s="9" t="n">
        <v>17</v>
      </c>
      <c r="B16" s="9" t="n"/>
      <c r="C16" s="15" t="inlineStr">
        <is>
          <t>Não</t>
        </is>
      </c>
      <c r="D16" s="11" t="inlineStr">
        <is>
          <t>911 GT3</t>
        </is>
      </c>
      <c r="E16" s="9" t="inlineStr">
        <is>
          <t>911</t>
        </is>
      </c>
      <c r="F16" s="9" t="inlineStr">
        <is>
          <t>Combustão</t>
        </is>
      </c>
      <c r="G16" s="9" t="n">
        <v>2024</v>
      </c>
      <c r="H16" s="12" t="n">
        <v>241000</v>
      </c>
      <c r="I16" s="13" t="n">
        <v>750</v>
      </c>
      <c r="J16" s="11" t="inlineStr">
        <is>
          <t>Transferência (wire)</t>
        </is>
      </c>
      <c r="K16" s="11" t="inlineStr">
        <is>
          <t>Las Vegas</t>
        </is>
      </c>
      <c r="L16" s="9" t="inlineStr">
        <is>
          <t>NV</t>
        </is>
      </c>
      <c r="M16" s="9" t="inlineStr">
        <is>
          <t>Oeste</t>
        </is>
      </c>
      <c r="N16" s="11" t="inlineStr">
        <is>
          <t>Pendente</t>
        </is>
      </c>
      <c r="O16" s="9" t="inlineStr">
        <is>
          <t>Pendente</t>
        </is>
      </c>
    </row>
    <row r="17">
      <c r="A17" s="4" t="n">
        <v>18</v>
      </c>
      <c r="B17" s="4" t="inlineStr">
        <is>
          <t>2024-05-11</t>
        </is>
      </c>
      <c r="C17" s="14" t="inlineStr">
        <is>
          <t>Sim</t>
        </is>
      </c>
      <c r="D17" s="6" t="inlineStr">
        <is>
          <t>Panamera Turbo S</t>
        </is>
      </c>
      <c r="E17" s="4" t="inlineStr">
        <is>
          <t>Panamera</t>
        </is>
      </c>
      <c r="F17" s="4" t="inlineStr">
        <is>
          <t>Combustão</t>
        </is>
      </c>
      <c r="G17" s="4" t="n">
        <v>2022</v>
      </c>
      <c r="H17" s="7" t="n">
        <v>132000</v>
      </c>
      <c r="I17" s="8" t="n">
        <v>19250</v>
      </c>
      <c r="J17" s="6" t="inlineStr">
        <is>
          <t>Dinheiro</t>
        </is>
      </c>
      <c r="K17" s="6" t="inlineStr">
        <is>
          <t>San Jose</t>
        </is>
      </c>
      <c r="L17" s="4" t="inlineStr">
        <is>
          <t>CA</t>
        </is>
      </c>
      <c r="M17" s="4" t="inlineStr">
        <is>
          <t>Oeste</t>
        </is>
      </c>
      <c r="N17" s="6" t="inlineStr">
        <is>
          <t>Entregue</t>
        </is>
      </c>
      <c r="O17" s="4" t="inlineStr">
        <is>
          <t>Entregue</t>
        </is>
      </c>
    </row>
    <row r="18">
      <c r="A18" s="9" t="n">
        <v>19</v>
      </c>
      <c r="B18" s="9" t="inlineStr">
        <is>
          <t>2024-12-12</t>
        </is>
      </c>
      <c r="C18" s="10" t="inlineStr">
        <is>
          <t>Sim</t>
        </is>
      </c>
      <c r="D18" s="11" t="inlineStr">
        <is>
          <t>Cayenne Turbo GT</t>
        </is>
      </c>
      <c r="E18" s="9" t="inlineStr">
        <is>
          <t>Cayenne</t>
        </is>
      </c>
      <c r="F18" s="9" t="inlineStr">
        <is>
          <t>Combustão</t>
        </is>
      </c>
      <c r="G18" s="9" t="n">
        <v>2024</v>
      </c>
      <c r="H18" s="12" t="n">
        <v>188000</v>
      </c>
      <c r="I18" s="13" t="n">
        <v>2100</v>
      </c>
      <c r="J18" s="11" t="inlineStr">
        <is>
          <t>Cripto</t>
        </is>
      </c>
      <c r="K18" s="11" t="inlineStr">
        <is>
          <t>Houston</t>
        </is>
      </c>
      <c r="L18" s="9" t="inlineStr">
        <is>
          <t>TX</t>
        </is>
      </c>
      <c r="M18" s="9" t="inlineStr">
        <is>
          <t>Sul</t>
        </is>
      </c>
      <c r="N18" s="11" t="inlineStr">
        <is>
          <t>Aguardando entrega</t>
        </is>
      </c>
      <c r="O18" s="9" t="inlineStr">
        <is>
          <t>Aguardando</t>
        </is>
      </c>
    </row>
    <row r="19">
      <c r="A19" s="4" t="n">
        <v>20</v>
      </c>
      <c r="B19" s="4" t="inlineStr">
        <is>
          <t>2024-12-25</t>
        </is>
      </c>
      <c r="C19" s="14" t="inlineStr">
        <is>
          <t>Sim</t>
        </is>
      </c>
      <c r="D19" s="6" t="inlineStr">
        <is>
          <t>911 Carrera Cabriolet</t>
        </is>
      </c>
      <c r="E19" s="4" t="inlineStr">
        <is>
          <t>911</t>
        </is>
      </c>
      <c r="F19" s="4" t="inlineStr">
        <is>
          <t>Combustão</t>
        </is>
      </c>
      <c r="G19" s="4" t="n">
        <v>2023</v>
      </c>
      <c r="H19" s="7" t="n">
        <v>127800</v>
      </c>
      <c r="I19" s="8" t="n">
        <v>12000</v>
      </c>
      <c r="J19" s="6" t="inlineStr">
        <is>
          <t>Cartão de crédito</t>
        </is>
      </c>
      <c r="K19" s="6" t="inlineStr">
        <is>
          <t>Atlanta</t>
        </is>
      </c>
      <c r="L19" s="4" t="inlineStr">
        <is>
          <t>GA</t>
        </is>
      </c>
      <c r="M19" s="4" t="inlineStr">
        <is>
          <t>Sul</t>
        </is>
      </c>
      <c r="N19" s="6" t="inlineStr">
        <is>
          <t>Entregue</t>
        </is>
      </c>
      <c r="O19" s="4" t="inlineStr">
        <is>
          <t>Entregue</t>
        </is>
      </c>
    </row>
    <row r="20">
      <c r="A20" s="9" t="n">
        <v>21</v>
      </c>
      <c r="B20" s="9" t="inlineStr">
        <is>
          <t>2025-01-06</t>
        </is>
      </c>
      <c r="C20" s="10" t="inlineStr">
        <is>
          <t>Sim</t>
        </is>
      </c>
      <c r="D20" s="11" t="inlineStr">
        <is>
          <t>Macan</t>
        </is>
      </c>
      <c r="E20" s="9" t="inlineStr">
        <is>
          <t>Macan</t>
        </is>
      </c>
      <c r="F20" s="9" t="inlineStr">
        <is>
          <t>Combustão</t>
        </is>
      </c>
      <c r="G20" s="9" t="n">
        <v>2021</v>
      </c>
      <c r="H20" s="12" t="n">
        <v>58900</v>
      </c>
      <c r="I20" s="13" t="n">
        <v>33700</v>
      </c>
      <c r="J20" s="11" t="inlineStr">
        <is>
          <t>Transferência bancária</t>
        </is>
      </c>
      <c r="K20" s="11" t="inlineStr">
        <is>
          <t>Orlando</t>
        </is>
      </c>
      <c r="L20" s="9" t="inlineStr">
        <is>
          <t>FL</t>
        </is>
      </c>
      <c r="M20" s="9" t="inlineStr">
        <is>
          <t>Sul</t>
        </is>
      </c>
      <c r="N20" s="11" t="inlineStr">
        <is>
          <t>Pendente</t>
        </is>
      </c>
      <c r="O20" s="9" t="inlineStr">
        <is>
          <t>Pendente</t>
        </is>
      </c>
    </row>
    <row r="21">
      <c r="A21" s="4" t="n">
        <v>22</v>
      </c>
      <c r="B21" s="4" t="n"/>
      <c r="C21" s="5" t="inlineStr">
        <is>
          <t>Não</t>
        </is>
      </c>
      <c r="D21" s="6" t="inlineStr">
        <is>
          <t>718 Spyder RS</t>
        </is>
      </c>
      <c r="E21" s="4" t="inlineStr">
        <is>
          <t>718</t>
        </is>
      </c>
      <c r="F21" s="4" t="inlineStr">
        <is>
          <t>Combustão</t>
        </is>
      </c>
      <c r="G21" s="4" t="n">
        <v>2024</v>
      </c>
      <c r="H21" s="7" t="n">
        <v>164000</v>
      </c>
      <c r="I21" s="8" t="n">
        <v>900</v>
      </c>
      <c r="J21" s="6" t="inlineStr">
        <is>
          <t>Financiamento</t>
        </is>
      </c>
      <c r="K21" s="6" t="inlineStr">
        <is>
          <t>Portland</t>
        </is>
      </c>
      <c r="L21" s="4" t="inlineStr">
        <is>
          <t>OR</t>
        </is>
      </c>
      <c r="M21" s="4" t="inlineStr">
        <is>
          <t>Oeste</t>
        </is>
      </c>
      <c r="N21" s="6" t="inlineStr">
        <is>
          <t>Em trânsito</t>
        </is>
      </c>
      <c r="O21" s="4" t="inlineStr">
        <is>
          <t>Em trânsito</t>
        </is>
      </c>
    </row>
    <row r="22">
      <c r="A22" s="9" t="n">
        <v>23</v>
      </c>
      <c r="B22" s="9" t="inlineStr">
        <is>
          <t>2025-02-14</t>
        </is>
      </c>
      <c r="C22" s="10" t="inlineStr">
        <is>
          <t>Sim</t>
        </is>
      </c>
      <c r="D22" s="11" t="inlineStr">
        <is>
          <t>Taycan Cross Turismo</t>
        </is>
      </c>
      <c r="E22" s="9" t="inlineStr">
        <is>
          <t>Taycan</t>
        </is>
      </c>
      <c r="F22" s="9" t="inlineStr">
        <is>
          <t>Elétrico</t>
        </is>
      </c>
      <c r="G22" s="9" t="n">
        <v>2023</v>
      </c>
      <c r="H22" s="12" t="n">
        <v>118500</v>
      </c>
      <c r="I22" s="13" t="n">
        <v>7800</v>
      </c>
      <c r="J22" s="11" t="inlineStr">
        <is>
          <t>Transferência (wire)</t>
        </is>
      </c>
      <c r="K22" s="11" t="inlineStr">
        <is>
          <t>Charlotte</t>
        </is>
      </c>
      <c r="L22" s="9" t="inlineStr">
        <is>
          <t>NC</t>
        </is>
      </c>
      <c r="M22" s="9" t="inlineStr">
        <is>
          <t>Sul</t>
        </is>
      </c>
      <c r="N22" s="11" t="inlineStr">
        <is>
          <t>Entregue</t>
        </is>
      </c>
      <c r="O22" s="9" t="inlineStr">
        <is>
          <t>Entregue</t>
        </is>
      </c>
    </row>
    <row r="23">
      <c r="A23" s="4" t="n">
        <v>24</v>
      </c>
      <c r="B23" s="4" t="n"/>
      <c r="C23" s="5" t="inlineStr">
        <is>
          <t>Não</t>
        </is>
      </c>
      <c r="D23" s="6" t="inlineStr">
        <is>
          <t>Cayenne S</t>
        </is>
      </c>
      <c r="E23" s="4" t="inlineStr">
        <is>
          <t>Cayenne</t>
        </is>
      </c>
      <c r="F23" s="4" t="inlineStr">
        <is>
          <t>Combustão</t>
        </is>
      </c>
      <c r="G23" s="4" t="n">
        <v>2022</v>
      </c>
      <c r="H23" s="7" t="n">
        <v>91300</v>
      </c>
      <c r="I23" s="8" t="n">
        <v>16000</v>
      </c>
      <c r="J23" s="6" t="inlineStr">
        <is>
          <t>Cartão de crédito</t>
        </is>
      </c>
      <c r="K23" s="6" t="inlineStr">
        <is>
          <t>Nashville</t>
        </is>
      </c>
      <c r="L23" s="4" t="inlineStr">
        <is>
          <t>TN</t>
        </is>
      </c>
      <c r="M23" s="4" t="inlineStr">
        <is>
          <t>Sul</t>
        </is>
      </c>
      <c r="N23" s="6" t="inlineStr">
        <is>
          <t>Pendente</t>
        </is>
      </c>
      <c r="O23" s="4" t="inlineStr">
        <is>
          <t>Pendente</t>
        </is>
      </c>
    </row>
    <row r="24">
      <c r="A24" s="9" t="n">
        <v>25</v>
      </c>
      <c r="B24" s="9" t="inlineStr">
        <is>
          <t>2025-03-21</t>
        </is>
      </c>
      <c r="C24" s="10" t="inlineStr">
        <is>
          <t>Sim</t>
        </is>
      </c>
      <c r="D24" s="11" t="inlineStr">
        <is>
          <t>911 Targa 4S</t>
        </is>
      </c>
      <c r="E24" s="9" t="inlineStr">
        <is>
          <t>911</t>
        </is>
      </c>
      <c r="F24" s="9" t="inlineStr">
        <is>
          <t>Combustão</t>
        </is>
      </c>
      <c r="G24" s="9" t="n">
        <v>2024</v>
      </c>
      <c r="H24" s="12" t="n">
        <v>158750</v>
      </c>
      <c r="I24" s="13" t="n">
        <v>2500</v>
      </c>
      <c r="J24" s="11" t="inlineStr">
        <is>
          <t>Locação (leasing)</t>
        </is>
      </c>
      <c r="K24" s="11" t="inlineStr">
        <is>
          <t>Minneapolis</t>
        </is>
      </c>
      <c r="L24" s="9" t="inlineStr">
        <is>
          <t>MN</t>
        </is>
      </c>
      <c r="M24" s="9" t="inlineStr">
        <is>
          <t>Centro-Oeste</t>
        </is>
      </c>
      <c r="N24" s="11" t="inlineStr">
        <is>
          <t>Entregue</t>
        </is>
      </c>
      <c r="O24" s="9" t="inlineStr">
        <is>
          <t>Entregue</t>
        </is>
      </c>
    </row>
    <row r="25">
      <c r="A25" s="4" t="n">
        <v>26</v>
      </c>
      <c r="B25" s="4" t="inlineStr">
        <is>
          <t>2025-03-28</t>
        </is>
      </c>
      <c r="C25" s="14" t="inlineStr">
        <is>
          <t>Sim</t>
        </is>
      </c>
      <c r="D25" s="6" t="inlineStr">
        <is>
          <t>Panamera</t>
        </is>
      </c>
      <c r="E25" s="4" t="inlineStr">
        <is>
          <t>Panamera</t>
        </is>
      </c>
      <c r="F25" s="4" t="inlineStr">
        <is>
          <t>Combustão</t>
        </is>
      </c>
      <c r="G25" s="4" t="n">
        <v>2020</v>
      </c>
      <c r="H25" s="7" t="n">
        <v>72000</v>
      </c>
      <c r="I25" s="8" t="n">
        <v>49000</v>
      </c>
      <c r="J25" s="6" t="inlineStr">
        <is>
          <t>Transferência bancária</t>
        </is>
      </c>
      <c r="K25" s="6" t="inlineStr">
        <is>
          <t>Philadelphia</t>
        </is>
      </c>
      <c r="L25" s="4" t="inlineStr">
        <is>
          <t>PA</t>
        </is>
      </c>
      <c r="M25" s="4" t="inlineStr">
        <is>
          <t>Nordeste</t>
        </is>
      </c>
      <c r="N25" s="6" t="inlineStr">
        <is>
          <t>Cancelado</t>
        </is>
      </c>
      <c r="O25" s="4" t="inlineStr">
        <is>
          <t>Cancelado</t>
        </is>
      </c>
    </row>
    <row r="26">
      <c r="A26" s="9" t="n">
        <v>27</v>
      </c>
      <c r="B26" s="9" t="inlineStr">
        <is>
          <t>2025-04-09</t>
        </is>
      </c>
      <c r="C26" s="10" t="inlineStr">
        <is>
          <t>Sim</t>
        </is>
      </c>
      <c r="D26" s="11" t="inlineStr">
        <is>
          <t>Macan Electric</t>
        </is>
      </c>
      <c r="E26" s="9" t="inlineStr">
        <is>
          <t>Macan</t>
        </is>
      </c>
      <c r="F26" s="9" t="inlineStr">
        <is>
          <t>Elétrico</t>
        </is>
      </c>
      <c r="G26" s="9" t="n">
        <v>2025</v>
      </c>
      <c r="H26" s="12" t="n">
        <v>86500</v>
      </c>
      <c r="I26" s="13" t="n">
        <v>0</v>
      </c>
      <c r="J26" s="11" t="inlineStr">
        <is>
          <t>Transferência (wire)</t>
        </is>
      </c>
      <c r="K26" s="11" t="inlineStr">
        <is>
          <t>San Antonio</t>
        </is>
      </c>
      <c r="L26" s="9" t="inlineStr">
        <is>
          <t>TX</t>
        </is>
      </c>
      <c r="M26" s="9" t="inlineStr">
        <is>
          <t>Sul</t>
        </is>
      </c>
      <c r="N26" s="11" t="inlineStr">
        <is>
          <t>Entregue</t>
        </is>
      </c>
      <c r="O26" s="9" t="inlineStr">
        <is>
          <t>Entregue</t>
        </is>
      </c>
    </row>
    <row r="27">
      <c r="A27" s="4" t="n">
        <v>28</v>
      </c>
      <c r="B27" s="4" t="n"/>
      <c r="C27" s="5" t="inlineStr">
        <is>
          <t>Não</t>
        </is>
      </c>
      <c r="D27" s="6" t="inlineStr">
        <is>
          <t>911 Dakar</t>
        </is>
      </c>
      <c r="E27" s="4" t="inlineStr">
        <is>
          <t>911</t>
        </is>
      </c>
      <c r="F27" s="4" t="inlineStr">
        <is>
          <t>Combustão</t>
        </is>
      </c>
      <c r="G27" s="4" t="n">
        <v>2024</v>
      </c>
      <c r="H27" s="7" t="n">
        <v>270000</v>
      </c>
      <c r="I27" s="8" t="n">
        <v>1050</v>
      </c>
      <c r="J27" s="6" t="inlineStr">
        <is>
          <t>Dinheiro</t>
        </is>
      </c>
      <c r="K27" s="6" t="inlineStr">
        <is>
          <t>Salt Lake City</t>
        </is>
      </c>
      <c r="L27" s="4" t="inlineStr">
        <is>
          <t>UT</t>
        </is>
      </c>
      <c r="M27" s="4" t="inlineStr">
        <is>
          <t>Oeste</t>
        </is>
      </c>
      <c r="N27" s="6" t="inlineStr">
        <is>
          <t>Aguardando retirada</t>
        </is>
      </c>
      <c r="O27" s="4" t="inlineStr">
        <is>
          <t>Aguardando</t>
        </is>
      </c>
    </row>
    <row r="28">
      <c r="A28" s="9" t="n">
        <v>29</v>
      </c>
      <c r="B28" s="9" t="inlineStr">
        <is>
          <t>2025-05-12</t>
        </is>
      </c>
      <c r="C28" s="10" t="inlineStr">
        <is>
          <t>Sim</t>
        </is>
      </c>
      <c r="D28" s="11" t="inlineStr">
        <is>
          <t>Taycan GTS</t>
        </is>
      </c>
      <c r="E28" s="9" t="inlineStr">
        <is>
          <t>Taycan</t>
        </is>
      </c>
      <c r="F28" s="9" t="inlineStr">
        <is>
          <t>Elétrico</t>
        </is>
      </c>
      <c r="G28" s="9" t="n">
        <v>2023</v>
      </c>
      <c r="H28" s="12" t="n">
        <v>139000</v>
      </c>
      <c r="I28" s="13" t="n">
        <v>6250</v>
      </c>
      <c r="J28" s="11" t="inlineStr">
        <is>
          <t>Financiamento</t>
        </is>
      </c>
      <c r="K28" s="11" t="inlineStr">
        <is>
          <t>Raleigh</t>
        </is>
      </c>
      <c r="L28" s="9" t="inlineStr">
        <is>
          <t>NC</t>
        </is>
      </c>
      <c r="M28" s="9" t="inlineStr">
        <is>
          <t>Sul</t>
        </is>
      </c>
      <c r="N28" s="11" t="inlineStr">
        <is>
          <t>Em trânsito</t>
        </is>
      </c>
      <c r="O28" s="9" t="inlineStr">
        <is>
          <t>Em trânsito</t>
        </is>
      </c>
    </row>
    <row r="29">
      <c r="A29" s="4" t="n">
        <v>30</v>
      </c>
      <c r="B29" s="4" t="inlineStr">
        <is>
          <t>2025-06-18</t>
        </is>
      </c>
      <c r="C29" s="14" t="inlineStr">
        <is>
          <t>Sim</t>
        </is>
      </c>
      <c r="D29" s="6" t="inlineStr">
        <is>
          <t>Cayenne</t>
        </is>
      </c>
      <c r="E29" s="4" t="inlineStr">
        <is>
          <t>Cayenne</t>
        </is>
      </c>
      <c r="F29" s="4" t="inlineStr">
        <is>
          <t>Combustão</t>
        </is>
      </c>
      <c r="G29" s="4" t="n">
        <v>2021</v>
      </c>
      <c r="H29" s="7" t="n">
        <v>76800</v>
      </c>
      <c r="I29" s="8" t="n">
        <v>38400</v>
      </c>
      <c r="J29" s="6" t="inlineStr">
        <is>
          <t>Cartão de crédito</t>
        </is>
      </c>
      <c r="K29" s="6" t="inlineStr">
        <is>
          <t>Detroit</t>
        </is>
      </c>
      <c r="L29" s="4" t="inlineStr">
        <is>
          <t>MI</t>
        </is>
      </c>
      <c r="M29" s="4" t="inlineStr">
        <is>
          <t>Centro-Oeste</t>
        </is>
      </c>
      <c r="N29" s="6" t="inlineStr">
        <is>
          <t>Entregue</t>
        </is>
      </c>
      <c r="O29" s="4" t="inlineStr">
        <is>
          <t>Entregue</t>
        </is>
      </c>
    </row>
    <row r="30">
      <c r="A30" s="9" t="n">
        <v>31</v>
      </c>
      <c r="B30" s="9" t="n"/>
      <c r="C30" s="15" t="inlineStr">
        <is>
          <t>Não</t>
        </is>
      </c>
      <c r="D30" s="11" t="inlineStr">
        <is>
          <t>718 Cayman GT4 RS</t>
        </is>
      </c>
      <c r="E30" s="9" t="inlineStr">
        <is>
          <t>718</t>
        </is>
      </c>
      <c r="F30" s="9" t="inlineStr">
        <is>
          <t>Combustão</t>
        </is>
      </c>
      <c r="G30" s="9" t="n">
        <v>2024</v>
      </c>
      <c r="H30" s="12" t="n">
        <v>173600</v>
      </c>
      <c r="I30" s="13" t="n">
        <v>400</v>
      </c>
      <c r="J30" s="11" t="inlineStr">
        <is>
          <t>Transferência (wire)</t>
        </is>
      </c>
      <c r="K30" s="11" t="inlineStr">
        <is>
          <t>Columbus</t>
        </is>
      </c>
      <c r="L30" s="9" t="inlineStr">
        <is>
          <t>OH</t>
        </is>
      </c>
      <c r="M30" s="9" t="inlineStr">
        <is>
          <t>Centro-Oeste</t>
        </is>
      </c>
      <c r="N30" s="11" t="inlineStr">
        <is>
          <t>Pendente</t>
        </is>
      </c>
      <c r="O30" s="9" t="inlineStr">
        <is>
          <t>Pendente</t>
        </is>
      </c>
    </row>
    <row r="31">
      <c r="A31" s="4" t="n">
        <v>32</v>
      </c>
      <c r="B31" s="4" t="inlineStr">
        <is>
          <t>2025-07-07</t>
        </is>
      </c>
      <c r="C31" s="14" t="inlineStr">
        <is>
          <t>Sim</t>
        </is>
      </c>
      <c r="D31" s="6" t="inlineStr">
        <is>
          <t>911 Carrera GTS</t>
        </is>
      </c>
      <c r="E31" s="4" t="inlineStr">
        <is>
          <t>911</t>
        </is>
      </c>
      <c r="F31" s="4" t="inlineStr">
        <is>
          <t>Combustão</t>
        </is>
      </c>
      <c r="G31" s="4" t="n">
        <v>2022</v>
      </c>
      <c r="H31" s="7" t="n">
        <v>119900</v>
      </c>
      <c r="I31" s="8" t="n">
        <v>13600</v>
      </c>
      <c r="J31" s="6" t="inlineStr">
        <is>
          <t>Dinheiro</t>
        </is>
      </c>
      <c r="K31" s="6" t="inlineStr">
        <is>
          <t>Indianapolis</t>
        </is>
      </c>
      <c r="L31" s="4" t="inlineStr">
        <is>
          <t>IN</t>
        </is>
      </c>
      <c r="M31" s="4" t="inlineStr">
        <is>
          <t>Centro-Oeste</t>
        </is>
      </c>
      <c r="N31" s="6" t="inlineStr">
        <is>
          <t>Entregue</t>
        </is>
      </c>
      <c r="O31" s="4" t="inlineStr">
        <is>
          <t>Entregue</t>
        </is>
      </c>
    </row>
    <row r="32">
      <c r="A32" s="9" t="n">
        <v>33</v>
      </c>
      <c r="B32" s="9" t="inlineStr">
        <is>
          <t>2025-07-22</t>
        </is>
      </c>
      <c r="C32" s="10" t="inlineStr">
        <is>
          <t>Sim</t>
        </is>
      </c>
      <c r="D32" s="11" t="inlineStr">
        <is>
          <t>Panamera 4 E-Hybrid</t>
        </is>
      </c>
      <c r="E32" s="9" t="inlineStr">
        <is>
          <t>Panamera</t>
        </is>
      </c>
      <c r="F32" s="9" t="inlineStr">
        <is>
          <t>Híbrido</t>
        </is>
      </c>
      <c r="G32" s="9" t="n">
        <v>2023</v>
      </c>
      <c r="H32" s="12" t="n">
        <v>109250</v>
      </c>
      <c r="I32" s="13" t="n">
        <v>8900</v>
      </c>
      <c r="J32" s="11" t="inlineStr">
        <is>
          <t>Locação (leasing)</t>
        </is>
      </c>
      <c r="K32" s="11" t="inlineStr">
        <is>
          <t>Fort Worth</t>
        </is>
      </c>
      <c r="L32" s="9" t="inlineStr">
        <is>
          <t>TX</t>
        </is>
      </c>
      <c r="M32" s="9" t="inlineStr">
        <is>
          <t>Sul</t>
        </is>
      </c>
      <c r="N32" s="11" t="inlineStr">
        <is>
          <t>Em trânsito</t>
        </is>
      </c>
      <c r="O32" s="9" t="inlineStr">
        <is>
          <t>Em trânsito</t>
        </is>
      </c>
    </row>
    <row r="33">
      <c r="A33" s="4" t="n">
        <v>34</v>
      </c>
      <c r="B33" s="4" t="inlineStr">
        <is>
          <t>2025-08-14</t>
        </is>
      </c>
      <c r="C33" s="14" t="inlineStr">
        <is>
          <t>Sim</t>
        </is>
      </c>
      <c r="D33" s="6" t="inlineStr">
        <is>
          <t>Macan T</t>
        </is>
      </c>
      <c r="E33" s="4" t="inlineStr">
        <is>
          <t>Macan</t>
        </is>
      </c>
      <c r="F33" s="4" t="inlineStr">
        <is>
          <t>Combustão</t>
        </is>
      </c>
      <c r="G33" s="4" t="n">
        <v>2022</v>
      </c>
      <c r="H33" s="7" t="n">
        <v>82000</v>
      </c>
      <c r="I33" s="8" t="n">
        <v>21750</v>
      </c>
      <c r="J33" s="6" t="inlineStr">
        <is>
          <t>Transferência (wire)</t>
        </is>
      </c>
      <c r="K33" s="6" t="inlineStr">
        <is>
          <t>Jacksonville</t>
        </is>
      </c>
      <c r="L33" s="4" t="inlineStr">
        <is>
          <t>FL</t>
        </is>
      </c>
      <c r="M33" s="4" t="inlineStr">
        <is>
          <t>Sul</t>
        </is>
      </c>
      <c r="N33" s="6" t="inlineStr">
        <is>
          <t>Entregue</t>
        </is>
      </c>
      <c r="O33" s="4" t="inlineStr">
        <is>
          <t>Entregue</t>
        </is>
      </c>
    </row>
    <row r="34">
      <c r="A34" s="9" t="n">
        <v>35</v>
      </c>
      <c r="B34" s="9" t="inlineStr">
        <is>
          <t>2025-09-01</t>
        </is>
      </c>
      <c r="C34" s="10" t="inlineStr">
        <is>
          <t>Sim</t>
        </is>
      </c>
      <c r="D34" s="11" t="inlineStr">
        <is>
          <t>Taycan Turbo S</t>
        </is>
      </c>
      <c r="E34" s="9" t="inlineStr">
        <is>
          <t>Taycan</t>
        </is>
      </c>
      <c r="F34" s="9" t="inlineStr">
        <is>
          <t>Elétrico</t>
        </is>
      </c>
      <c r="G34" s="9" t="n">
        <v>2025</v>
      </c>
      <c r="H34" s="12" t="n">
        <v>214000</v>
      </c>
      <c r="I34" s="13" t="n">
        <v>0</v>
      </c>
      <c r="J34" s="11" t="inlineStr">
        <is>
          <t>Cripto</t>
        </is>
      </c>
      <c r="K34" s="11" t="inlineStr">
        <is>
          <t>San Diego</t>
        </is>
      </c>
      <c r="L34" s="9" t="inlineStr">
        <is>
          <t>CA</t>
        </is>
      </c>
      <c r="M34" s="9" t="inlineStr">
        <is>
          <t>Oeste</t>
        </is>
      </c>
      <c r="N34" s="11" t="inlineStr">
        <is>
          <t>Em análise</t>
        </is>
      </c>
      <c r="O34" s="9" t="inlineStr">
        <is>
          <t>Pendente</t>
        </is>
      </c>
    </row>
    <row r="35">
      <c r="A35" s="4" t="n">
        <v>36</v>
      </c>
      <c r="B35" s="4" t="n"/>
      <c r="C35" s="5" t="inlineStr">
        <is>
          <t>Não</t>
        </is>
      </c>
      <c r="D35" s="6" t="inlineStr">
        <is>
          <t>911 Carrera</t>
        </is>
      </c>
      <c r="E35" s="4" t="inlineStr">
        <is>
          <t>911</t>
        </is>
      </c>
      <c r="F35" s="4" t="inlineStr">
        <is>
          <t>Combustão</t>
        </is>
      </c>
      <c r="G35" s="4" t="n">
        <v>2024</v>
      </c>
      <c r="H35" s="7" t="n">
        <v>124500</v>
      </c>
      <c r="I35" s="8" t="n">
        <v>4800</v>
      </c>
      <c r="J35" s="6" t="inlineStr">
        <is>
          <t>Cartão de crédito</t>
        </is>
      </c>
      <c r="K35" s="6" t="inlineStr">
        <is>
          <t>Tampa</t>
        </is>
      </c>
      <c r="L35" s="4" t="inlineStr">
        <is>
          <t>FL</t>
        </is>
      </c>
      <c r="M35" s="4" t="inlineStr">
        <is>
          <t>Sul</t>
        </is>
      </c>
      <c r="N35" s="6" t="inlineStr">
        <is>
          <t>Entregue</t>
        </is>
      </c>
      <c r="O35" s="4" t="inlineStr">
        <is>
          <t>Entregue</t>
        </is>
      </c>
    </row>
    <row r="36">
      <c r="A36" s="9" t="n">
        <v>37</v>
      </c>
      <c r="B36" s="9" t="inlineStr">
        <is>
          <t>2025-09-18</t>
        </is>
      </c>
      <c r="C36" s="10" t="inlineStr">
        <is>
          <t>Sim</t>
        </is>
      </c>
      <c r="D36" s="11" t="inlineStr">
        <is>
          <t>Cayenne S</t>
        </is>
      </c>
      <c r="E36" s="9" t="inlineStr">
        <is>
          <t>Cayenne</t>
        </is>
      </c>
      <c r="F36" s="9" t="inlineStr">
        <is>
          <t>Combustão</t>
        </is>
      </c>
      <c r="G36" s="9" t="n">
        <v>2023</v>
      </c>
      <c r="H36" s="12" t="n">
        <v>98200</v>
      </c>
      <c r="I36" s="13" t="n">
        <v>12200</v>
      </c>
      <c r="J36" s="11" t="inlineStr">
        <is>
          <t>Transferência bancária</t>
        </is>
      </c>
      <c r="K36" s="11" t="inlineStr">
        <is>
          <t>Sacramento</t>
        </is>
      </c>
      <c r="L36" s="9" t="inlineStr">
        <is>
          <t>CA</t>
        </is>
      </c>
      <c r="M36" s="9" t="inlineStr">
        <is>
          <t>Oeste</t>
        </is>
      </c>
      <c r="N36" s="11" t="inlineStr">
        <is>
          <t>Pendente</t>
        </is>
      </c>
      <c r="O36" s="9" t="inlineStr">
        <is>
          <t>Pendente</t>
        </is>
      </c>
    </row>
    <row r="37">
      <c r="A37" s="4" t="n">
        <v>38</v>
      </c>
      <c r="B37" s="4" t="inlineStr">
        <is>
          <t>2025-10-04</t>
        </is>
      </c>
      <c r="C37" s="14" t="inlineStr">
        <is>
          <t>Sim</t>
        </is>
      </c>
      <c r="D37" s="6" t="inlineStr">
        <is>
          <t>Macan</t>
        </is>
      </c>
      <c r="E37" s="4" t="inlineStr">
        <is>
          <t>Macan</t>
        </is>
      </c>
      <c r="F37" s="4" t="inlineStr">
        <is>
          <t>Combustão</t>
        </is>
      </c>
      <c r="G37" s="4" t="n">
        <v>2022</v>
      </c>
      <c r="H37" s="7" t="n">
        <v>67500</v>
      </c>
      <c r="I37" s="8" t="n">
        <v>24100</v>
      </c>
      <c r="J37" s="6" t="inlineStr">
        <is>
          <t>Financiamento</t>
        </is>
      </c>
      <c r="K37" s="6" t="inlineStr">
        <is>
          <t>Cleveland</t>
        </is>
      </c>
      <c r="L37" s="4" t="inlineStr">
        <is>
          <t>OH</t>
        </is>
      </c>
      <c r="M37" s="4" t="inlineStr">
        <is>
          <t>Centro-Oeste</t>
        </is>
      </c>
      <c r="N37" s="6" t="inlineStr">
        <is>
          <t>Entregue</t>
        </is>
      </c>
      <c r="O37" s="4" t="inlineStr">
        <is>
          <t>Entregue</t>
        </is>
      </c>
    </row>
    <row r="38">
      <c r="A38" s="9" t="n">
        <v>39</v>
      </c>
      <c r="B38" s="9" t="inlineStr">
        <is>
          <t>2025-10-12</t>
        </is>
      </c>
      <c r="C38" s="10" t="inlineStr">
        <is>
          <t>Sim</t>
        </is>
      </c>
      <c r="D38" s="11" t="inlineStr">
        <is>
          <t>Taycan</t>
        </is>
      </c>
      <c r="E38" s="9" t="inlineStr">
        <is>
          <t>Taycan</t>
        </is>
      </c>
      <c r="F38" s="9" t="inlineStr">
        <is>
          <t>Elétrico</t>
        </is>
      </c>
      <c r="G38" s="9" t="n">
        <v>2025</v>
      </c>
      <c r="H38" s="12" t="n">
        <v>116900</v>
      </c>
      <c r="I38" s="13" t="n">
        <v>0</v>
      </c>
      <c r="J38" s="11" t="inlineStr">
        <is>
          <t>Transferência (wire)</t>
        </is>
      </c>
      <c r="K38" s="11" t="inlineStr">
        <is>
          <t>Milwaukee</t>
        </is>
      </c>
      <c r="L38" s="9" t="inlineStr">
        <is>
          <t>WI</t>
        </is>
      </c>
      <c r="M38" s="9" t="inlineStr">
        <is>
          <t>Centro-Oeste</t>
        </is>
      </c>
      <c r="N38" s="11" t="inlineStr">
        <is>
          <t>Em trânsito</t>
        </is>
      </c>
      <c r="O38" s="9" t="inlineStr">
        <is>
          <t>Em trânsito</t>
        </is>
      </c>
    </row>
    <row r="39">
      <c r="A39" s="4" t="n">
        <v>40</v>
      </c>
      <c r="B39" s="4" t="inlineStr">
        <is>
          <t>2025-10-29</t>
        </is>
      </c>
      <c r="C39" s="14" t="inlineStr">
        <is>
          <t>Sim</t>
        </is>
      </c>
      <c r="D39" s="6" t="inlineStr">
        <is>
          <t>Panamera 4S</t>
        </is>
      </c>
      <c r="E39" s="4" t="inlineStr">
        <is>
          <t>Panamera</t>
        </is>
      </c>
      <c r="F39" s="4" t="inlineStr">
        <is>
          <t>Combustão</t>
        </is>
      </c>
      <c r="G39" s="4" t="n">
        <v>2024</v>
      </c>
      <c r="H39" s="7" t="n">
        <v>112000</v>
      </c>
      <c r="I39" s="8" t="n">
        <v>10</v>
      </c>
      <c r="J39" s="6" t="inlineStr">
        <is>
          <t>Dinheiro</t>
        </is>
      </c>
      <c r="K39" s="6" t="inlineStr">
        <is>
          <t>Kansas City</t>
        </is>
      </c>
      <c r="L39" s="4" t="inlineStr">
        <is>
          <t>MO</t>
        </is>
      </c>
      <c r="M39" s="4" t="inlineStr">
        <is>
          <t>Centro-Oeste</t>
        </is>
      </c>
      <c r="N39" s="6" t="inlineStr">
        <is>
          <t>Entregue</t>
        </is>
      </c>
      <c r="O39" s="4" t="inlineStr">
        <is>
          <t>Entregue</t>
        </is>
      </c>
    </row>
    <row r="40">
      <c r="A40" s="9" t="n">
        <v>41</v>
      </c>
      <c r="B40" s="9" t="inlineStr">
        <is>
          <t>2025-02-11</t>
        </is>
      </c>
      <c r="C40" s="10" t="inlineStr">
        <is>
          <t>Sim</t>
        </is>
      </c>
      <c r="D40" s="11" t="inlineStr">
        <is>
          <t>718 Boxster</t>
        </is>
      </c>
      <c r="E40" s="9" t="inlineStr">
        <is>
          <t>718</t>
        </is>
      </c>
      <c r="F40" s="9" t="inlineStr">
        <is>
          <t>Combustão</t>
        </is>
      </c>
      <c r="G40" s="9" t="n">
        <v>2021</v>
      </c>
      <c r="H40" s="12" t="n">
        <v>74000</v>
      </c>
      <c r="I40" s="13" t="n">
        <v>31000</v>
      </c>
      <c r="J40" s="11" t="inlineStr">
        <is>
          <t>Cartão de débito</t>
        </is>
      </c>
      <c r="K40" s="11" t="inlineStr">
        <is>
          <t>Omaha</t>
        </is>
      </c>
      <c r="L40" s="9" t="inlineStr">
        <is>
          <t>NE</t>
        </is>
      </c>
      <c r="M40" s="9" t="inlineStr">
        <is>
          <t>Centro-Oeste</t>
        </is>
      </c>
      <c r="N40" s="11" t="inlineStr">
        <is>
          <t>Cancelado</t>
        </is>
      </c>
      <c r="O40" s="9" t="inlineStr">
        <is>
          <t>Cancelado</t>
        </is>
      </c>
    </row>
    <row r="41">
      <c r="A41" s="4" t="n">
        <v>42</v>
      </c>
      <c r="B41" s="4" t="inlineStr">
        <is>
          <t>2025-11-16</t>
        </is>
      </c>
      <c r="C41" s="14" t="inlineStr">
        <is>
          <t>Sim</t>
        </is>
      </c>
      <c r="D41" s="6" t="inlineStr">
        <is>
          <t>911 Turbo</t>
        </is>
      </c>
      <c r="E41" s="4" t="inlineStr">
        <is>
          <t>911</t>
        </is>
      </c>
      <c r="F41" s="4" t="inlineStr">
        <is>
          <t>Combustão</t>
        </is>
      </c>
      <c r="G41" s="4" t="n">
        <v>2024</v>
      </c>
      <c r="H41" s="7" t="n">
        <v>198300</v>
      </c>
      <c r="I41" s="8" t="n">
        <v>2400</v>
      </c>
      <c r="J41" s="6" t="inlineStr">
        <is>
          <t>Transferência (wire)</t>
        </is>
      </c>
      <c r="K41" s="6" t="inlineStr">
        <is>
          <t>Albuquerque</t>
        </is>
      </c>
      <c r="L41" s="4" t="inlineStr">
        <is>
          <t>NM</t>
        </is>
      </c>
      <c r="M41" s="4" t="inlineStr">
        <is>
          <t>Oeste</t>
        </is>
      </c>
      <c r="N41" s="6" t="inlineStr">
        <is>
          <t>Aguardando entrega</t>
        </is>
      </c>
      <c r="O41" s="4" t="inlineStr">
        <is>
          <t>Aguardando</t>
        </is>
      </c>
    </row>
    <row r="42">
      <c r="A42" s="9" t="n">
        <v>43</v>
      </c>
      <c r="B42" s="9" t="n"/>
      <c r="C42" s="15" t="inlineStr">
        <is>
          <t>Não</t>
        </is>
      </c>
      <c r="D42" s="11" t="inlineStr">
        <is>
          <t>Cayenne Coupe</t>
        </is>
      </c>
      <c r="E42" s="9" t="inlineStr">
        <is>
          <t>Cayenne</t>
        </is>
      </c>
      <c r="F42" s="9" t="inlineStr">
        <is>
          <t>Combustão</t>
        </is>
      </c>
      <c r="G42" s="9" t="n">
        <v>2023</v>
      </c>
      <c r="H42" s="12" t="n">
        <v>103750</v>
      </c>
      <c r="I42" s="13" t="n">
        <v>6773</v>
      </c>
      <c r="J42" s="11" t="inlineStr">
        <is>
          <t>Transferência (wire)</t>
        </is>
      </c>
      <c r="K42" s="11" t="inlineStr">
        <is>
          <t>Tucson</t>
        </is>
      </c>
      <c r="L42" s="9" t="inlineStr">
        <is>
          <t>AZ</t>
        </is>
      </c>
      <c r="M42" s="9" t="inlineStr">
        <is>
          <t>Oeste</t>
        </is>
      </c>
      <c r="N42" s="11" t="inlineStr">
        <is>
          <t>Aguardando aprovação</t>
        </is>
      </c>
      <c r="O42" s="9" t="inlineStr">
        <is>
          <t>Pendente</t>
        </is>
      </c>
    </row>
    <row r="43">
      <c r="A43" s="4" t="n">
        <v>44</v>
      </c>
      <c r="B43" s="4" t="n"/>
      <c r="C43" s="5" t="inlineStr">
        <is>
          <t>Não</t>
        </is>
      </c>
      <c r="D43" s="6" t="inlineStr">
        <is>
          <t>Macan GTS</t>
        </is>
      </c>
      <c r="E43" s="4" t="inlineStr">
        <is>
          <t>Macan</t>
        </is>
      </c>
      <c r="F43" s="4" t="inlineStr">
        <is>
          <t>Combustão</t>
        </is>
      </c>
      <c r="G43" s="4" t="n">
        <v>2024</v>
      </c>
      <c r="H43" s="7" t="n">
        <v>93600</v>
      </c>
      <c r="I43" s="8" t="n">
        <v>5800</v>
      </c>
      <c r="J43" s="6" t="inlineStr">
        <is>
          <t>Financiamento</t>
        </is>
      </c>
      <c r="K43" s="6" t="inlineStr">
        <is>
          <t>Fresno</t>
        </is>
      </c>
      <c r="L43" s="4" t="inlineStr">
        <is>
          <t>CA</t>
        </is>
      </c>
      <c r="M43" s="4" t="inlineStr">
        <is>
          <t>Oeste</t>
        </is>
      </c>
      <c r="N43" s="6" t="inlineStr">
        <is>
          <t>Enviado</t>
        </is>
      </c>
      <c r="O43" s="4" t="inlineStr">
        <is>
          <t>Em trânsito</t>
        </is>
      </c>
    </row>
    <row r="44">
      <c r="A44" s="9" t="n">
        <v>45</v>
      </c>
      <c r="B44" s="9" t="inlineStr">
        <is>
          <t>2025-12-07</t>
        </is>
      </c>
      <c r="C44" s="10" t="inlineStr">
        <is>
          <t>Sim</t>
        </is>
      </c>
      <c r="D44" s="11" t="inlineStr">
        <is>
          <t>Taycan 4S</t>
        </is>
      </c>
      <c r="E44" s="9" t="inlineStr">
        <is>
          <t>Taycan</t>
        </is>
      </c>
      <c r="F44" s="9" t="inlineStr">
        <is>
          <t>Elétrico</t>
        </is>
      </c>
      <c r="G44" s="9" t="n">
        <v>2025</v>
      </c>
      <c r="H44" s="12" t="n">
        <v>129000</v>
      </c>
      <c r="I44" s="13" t="n">
        <v>0</v>
      </c>
      <c r="J44" s="11" t="inlineStr">
        <is>
          <t>ACH</t>
        </is>
      </c>
      <c r="K44" s="11" t="inlineStr">
        <is>
          <t>Virginia Beach</t>
        </is>
      </c>
      <c r="L44" s="9" t="inlineStr">
        <is>
          <t>VA</t>
        </is>
      </c>
      <c r="M44" s="9" t="inlineStr">
        <is>
          <t>Sul</t>
        </is>
      </c>
      <c r="N44" s="11" t="inlineStr">
        <is>
          <t>Em trânsito</t>
        </is>
      </c>
      <c r="O44" s="9" t="inlineStr">
        <is>
          <t>Em trânsito</t>
        </is>
      </c>
    </row>
    <row r="45">
      <c r="A45" s="4" t="n">
        <v>46</v>
      </c>
      <c r="B45" s="4" t="inlineStr">
        <is>
          <t>2025-12-22</t>
        </is>
      </c>
      <c r="C45" s="14" t="inlineStr">
        <is>
          <t>Sim</t>
        </is>
      </c>
      <c r="D45" s="6" t="inlineStr">
        <is>
          <t>Panamera Turbo</t>
        </is>
      </c>
      <c r="E45" s="4" t="inlineStr">
        <is>
          <t>Panamera</t>
        </is>
      </c>
      <c r="F45" s="4" t="inlineStr">
        <is>
          <t>Combustão</t>
        </is>
      </c>
      <c r="G45" s="4" t="n">
        <v>2022</v>
      </c>
      <c r="H45" s="7" t="n">
        <v>136000</v>
      </c>
      <c r="I45" s="8" t="n">
        <v>18400</v>
      </c>
      <c r="J45" s="6" t="inlineStr">
        <is>
          <t>Cartão de crédito</t>
        </is>
      </c>
      <c r="K45" s="6" t="inlineStr">
        <is>
          <t>Colorado Springs</t>
        </is>
      </c>
      <c r="L45" s="4" t="inlineStr">
        <is>
          <t>CO</t>
        </is>
      </c>
      <c r="M45" s="4" t="inlineStr">
        <is>
          <t>Oeste</t>
        </is>
      </c>
      <c r="N45" s="6" t="inlineStr">
        <is>
          <t>Entregue</t>
        </is>
      </c>
      <c r="O45" s="4" t="inlineStr">
        <is>
          <t>Entregue</t>
        </is>
      </c>
    </row>
    <row r="46">
      <c r="A46" s="9" t="n">
        <v>47</v>
      </c>
      <c r="B46" s="9" t="n"/>
      <c r="C46" s="15" t="inlineStr">
        <is>
          <t>Não</t>
        </is>
      </c>
      <c r="D46" s="11" t="inlineStr">
        <is>
          <t>911 GT3 RS</t>
        </is>
      </c>
      <c r="E46" s="9" t="inlineStr">
        <is>
          <t>911</t>
        </is>
      </c>
      <c r="F46" s="9" t="inlineStr">
        <is>
          <t>Combustão</t>
        </is>
      </c>
      <c r="G46" s="9" t="n">
        <v>2024</v>
      </c>
      <c r="H46" s="12" t="n">
        <v>286500</v>
      </c>
      <c r="I46" s="13" t="n">
        <v>700</v>
      </c>
      <c r="J46" s="11" t="inlineStr">
        <is>
          <t>Transferência (wire)</t>
        </is>
      </c>
      <c r="K46" s="11" t="inlineStr">
        <is>
          <t>Arlington</t>
        </is>
      </c>
      <c r="L46" s="9" t="inlineStr">
        <is>
          <t>TX</t>
        </is>
      </c>
      <c r="M46" s="9" t="inlineStr">
        <is>
          <t>Sul</t>
        </is>
      </c>
      <c r="N46" s="11" t="inlineStr">
        <is>
          <t>Pendente</t>
        </is>
      </c>
      <c r="O46" s="9" t="inlineStr">
        <is>
          <t>Pendente</t>
        </is>
      </c>
    </row>
    <row r="47">
      <c r="A47" s="4" t="n">
        <v>48</v>
      </c>
      <c r="B47" s="4" t="inlineStr">
        <is>
          <t>2026-01-08</t>
        </is>
      </c>
      <c r="C47" s="14" t="inlineStr">
        <is>
          <t>Sim</t>
        </is>
      </c>
      <c r="D47" s="6" t="inlineStr">
        <is>
          <t>Cayenne E-Hybrid</t>
        </is>
      </c>
      <c r="E47" s="4" t="inlineStr">
        <is>
          <t>Cayenne</t>
        </is>
      </c>
      <c r="F47" s="4" t="inlineStr">
        <is>
          <t>Híbrido</t>
        </is>
      </c>
      <c r="G47" s="4" t="n">
        <v>2023</v>
      </c>
      <c r="H47" s="7" t="n">
        <v>92800</v>
      </c>
      <c r="I47" s="8" t="n">
        <v>15000</v>
      </c>
      <c r="J47" s="6" t="inlineStr">
        <is>
          <t>Locação (leasing)</t>
        </is>
      </c>
      <c r="K47" s="6" t="inlineStr">
        <is>
          <t>Bakersfield</t>
        </is>
      </c>
      <c r="L47" s="4" t="inlineStr">
        <is>
          <t>CA</t>
        </is>
      </c>
      <c r="M47" s="4" t="inlineStr">
        <is>
          <t>Oeste</t>
        </is>
      </c>
      <c r="N47" s="6" t="inlineStr">
        <is>
          <t>Entregue</t>
        </is>
      </c>
      <c r="O47" s="4" t="inlineStr">
        <is>
          <t>Entregue</t>
        </is>
      </c>
    </row>
    <row r="48">
      <c r="A48" s="9" t="n">
        <v>49</v>
      </c>
      <c r="B48" s="9" t="inlineStr">
        <is>
          <t>2026-01-15</t>
        </is>
      </c>
      <c r="C48" s="10" t="inlineStr">
        <is>
          <t>Sim</t>
        </is>
      </c>
      <c r="D48" s="11" t="inlineStr">
        <is>
          <t>Macan T</t>
        </is>
      </c>
      <c r="E48" s="9" t="inlineStr">
        <is>
          <t>Macan</t>
        </is>
      </c>
      <c r="F48" s="9" t="inlineStr">
        <is>
          <t>Combustão</t>
        </is>
      </c>
      <c r="G48" s="9" t="n">
        <v>2022</v>
      </c>
      <c r="H48" s="12" t="n">
        <v>72400</v>
      </c>
      <c r="I48" s="13" t="n">
        <v>19750</v>
      </c>
      <c r="J48" s="11" t="inlineStr">
        <is>
          <t>Dinheiro</t>
        </is>
      </c>
      <c r="K48" s="11" t="inlineStr">
        <is>
          <t>Mesa</t>
        </is>
      </c>
      <c r="L48" s="9" t="inlineStr">
        <is>
          <t>AZ</t>
        </is>
      </c>
      <c r="M48" s="9" t="inlineStr">
        <is>
          <t>Oeste</t>
        </is>
      </c>
      <c r="N48" s="11" t="inlineStr">
        <is>
          <t>Aguardando retirada</t>
        </is>
      </c>
      <c r="O48" s="9" t="inlineStr">
        <is>
          <t>Aguardando</t>
        </is>
      </c>
    </row>
    <row r="49">
      <c r="A49" s="4" t="n">
        <v>50</v>
      </c>
      <c r="B49" s="4" t="inlineStr">
        <is>
          <t>2026-01-28</t>
        </is>
      </c>
      <c r="C49" s="14" t="inlineStr">
        <is>
          <t>Sim</t>
        </is>
      </c>
      <c r="D49" s="6" t="inlineStr">
        <is>
          <t>Taycan Turbo</t>
        </is>
      </c>
      <c r="E49" s="4" t="inlineStr">
        <is>
          <t>Taycan</t>
        </is>
      </c>
      <c r="F49" s="4" t="inlineStr">
        <is>
          <t>Elétrico</t>
        </is>
      </c>
      <c r="G49" s="4" t="n">
        <v>2025</v>
      </c>
      <c r="H49" s="7" t="n">
        <v>158500</v>
      </c>
      <c r="I49" s="8" t="n">
        <v>3200</v>
      </c>
      <c r="J49" s="6" t="inlineStr">
        <is>
          <t>Cripto</t>
        </is>
      </c>
      <c r="K49" s="6" t="inlineStr">
        <is>
          <t>Atlanta</t>
        </is>
      </c>
      <c r="L49" s="4" t="inlineStr">
        <is>
          <t>GA</t>
        </is>
      </c>
      <c r="M49" s="4" t="inlineStr">
        <is>
          <t>Sul</t>
        </is>
      </c>
      <c r="N49" s="6" t="inlineStr">
        <is>
          <t>Entregue</t>
        </is>
      </c>
      <c r="O49" s="4" t="inlineStr">
        <is>
          <t>Entregue</t>
        </is>
      </c>
    </row>
    <row r="50">
      <c r="A50" s="9" t="n">
        <v>51</v>
      </c>
      <c r="B50" s="9" t="inlineStr">
        <is>
          <t>2026-02-03</t>
        </is>
      </c>
      <c r="C50" s="10" t="inlineStr">
        <is>
          <t>Sim</t>
        </is>
      </c>
      <c r="D50" s="11" t="inlineStr">
        <is>
          <t>718 Cayman</t>
        </is>
      </c>
      <c r="E50" s="9" t="inlineStr">
        <is>
          <t>718</t>
        </is>
      </c>
      <c r="F50" s="9" t="inlineStr">
        <is>
          <t>Combustão</t>
        </is>
      </c>
      <c r="G50" s="9" t="n">
        <v>2021</v>
      </c>
      <c r="H50" s="12" t="n">
        <v>69900</v>
      </c>
      <c r="I50" s="13" t="n">
        <v>27600</v>
      </c>
      <c r="J50" s="11" t="inlineStr">
        <is>
          <t>Transferência bancária</t>
        </is>
      </c>
      <c r="K50" s="11" t="inlineStr">
        <is>
          <t>Long Beach</t>
        </is>
      </c>
      <c r="L50" s="9" t="inlineStr">
        <is>
          <t>CA</t>
        </is>
      </c>
      <c r="M50" s="9" t="inlineStr">
        <is>
          <t>Oeste</t>
        </is>
      </c>
      <c r="N50" s="11" t="inlineStr">
        <is>
          <t>Pendente</t>
        </is>
      </c>
      <c r="O50" s="9" t="inlineStr">
        <is>
          <t>Pendente</t>
        </is>
      </c>
    </row>
    <row r="51">
      <c r="A51" s="4" t="n">
        <v>52</v>
      </c>
      <c r="B51" s="4" t="n"/>
      <c r="C51" s="5" t="inlineStr">
        <is>
          <t>Não</t>
        </is>
      </c>
      <c r="D51" s="6" t="inlineStr">
        <is>
          <t>911 Targa 4</t>
        </is>
      </c>
      <c r="E51" s="4" t="inlineStr">
        <is>
          <t>911</t>
        </is>
      </c>
      <c r="F51" s="4" t="inlineStr">
        <is>
          <t>Combustão</t>
        </is>
      </c>
      <c r="G51" s="4" t="n">
        <v>2024</v>
      </c>
      <c r="H51" s="7" t="n">
        <v>141250</v>
      </c>
      <c r="I51" s="8" t="n">
        <v>2100</v>
      </c>
      <c r="J51" s="6" t="inlineStr">
        <is>
          <t>Financiamento</t>
        </is>
      </c>
      <c r="K51" s="6" t="inlineStr">
        <is>
          <t>Oakland</t>
        </is>
      </c>
      <c r="L51" s="4" t="inlineStr">
        <is>
          <t>CA</t>
        </is>
      </c>
      <c r="M51" s="4" t="inlineStr">
        <is>
          <t>Oeste</t>
        </is>
      </c>
      <c r="N51" s="6" t="inlineStr">
        <is>
          <t>Em trânsito</t>
        </is>
      </c>
      <c r="O51" s="4" t="inlineStr">
        <is>
          <t>Em trânsito</t>
        </is>
      </c>
    </row>
    <row r="52">
      <c r="A52" s="9" t="n">
        <v>53</v>
      </c>
      <c r="B52" s="9" t="inlineStr">
        <is>
          <t>2026-02-19</t>
        </is>
      </c>
      <c r="C52" s="10" t="inlineStr">
        <is>
          <t>Sim</t>
        </is>
      </c>
      <c r="D52" s="11" t="inlineStr">
        <is>
          <t>Panamera</t>
        </is>
      </c>
      <c r="E52" s="9" t="inlineStr">
        <is>
          <t>Panamera</t>
        </is>
      </c>
      <c r="F52" s="9" t="inlineStr">
        <is>
          <t>Combustão</t>
        </is>
      </c>
      <c r="G52" s="9" t="n">
        <v>2020</v>
      </c>
      <c r="H52" s="12" t="n">
        <v>71500</v>
      </c>
      <c r="I52" s="13" t="n">
        <v>52000</v>
      </c>
      <c r="J52" s="11" t="inlineStr">
        <is>
          <t>Transferência (wire)</t>
        </is>
      </c>
      <c r="K52" s="11" t="inlineStr">
        <is>
          <t>Tulsa</t>
        </is>
      </c>
      <c r="L52" s="9" t="inlineStr">
        <is>
          <t>OK</t>
        </is>
      </c>
      <c r="M52" s="9" t="inlineStr">
        <is>
          <t>Sul</t>
        </is>
      </c>
      <c r="N52" s="11" t="inlineStr">
        <is>
          <t>Entregue</t>
        </is>
      </c>
      <c r="O52" s="9" t="inlineStr">
        <is>
          <t>Entregue</t>
        </is>
      </c>
    </row>
    <row r="53">
      <c r="A53" s="4" t="n">
        <v>54</v>
      </c>
      <c r="B53" s="4" t="inlineStr">
        <is>
          <t>2026-02-25</t>
        </is>
      </c>
      <c r="C53" s="14" t="inlineStr">
        <is>
          <t>Sim</t>
        </is>
      </c>
      <c r="D53" s="6" t="inlineStr">
        <is>
          <t>Cayenne Turbo</t>
        </is>
      </c>
      <c r="E53" s="4" t="inlineStr">
        <is>
          <t>Cayenne</t>
        </is>
      </c>
      <c r="F53" s="4" t="inlineStr">
        <is>
          <t>Combustão</t>
        </is>
      </c>
      <c r="G53" s="4" t="n">
        <v>2023</v>
      </c>
      <c r="H53" s="7" t="n">
        <v>146800</v>
      </c>
      <c r="I53" s="8" t="n">
        <v>11300</v>
      </c>
      <c r="J53" s="6" t="inlineStr">
        <is>
          <t>Cartão de crédito</t>
        </is>
      </c>
      <c r="K53" s="6" t="inlineStr">
        <is>
          <t>Wichita</t>
        </is>
      </c>
      <c r="L53" s="4" t="inlineStr">
        <is>
          <t>KS</t>
        </is>
      </c>
      <c r="M53" s="4" t="inlineStr">
        <is>
          <t>Centro-Oeste</t>
        </is>
      </c>
      <c r="N53" s="6" t="inlineStr">
        <is>
          <t>Pendente</t>
        </is>
      </c>
      <c r="O53" s="4" t="inlineStr">
        <is>
          <t>Pendente</t>
        </is>
      </c>
    </row>
    <row r="54">
      <c r="A54" s="9" t="n">
        <v>55</v>
      </c>
      <c r="B54" s="9" t="inlineStr">
        <is>
          <t>2026-03-01</t>
        </is>
      </c>
      <c r="C54" s="10" t="inlineStr">
        <is>
          <t>Sim</t>
        </is>
      </c>
      <c r="D54" s="11" t="inlineStr">
        <is>
          <t>Macan Electric</t>
        </is>
      </c>
      <c r="E54" s="9" t="inlineStr">
        <is>
          <t>Macan</t>
        </is>
      </c>
      <c r="F54" s="9" t="inlineStr">
        <is>
          <t>Elétrico</t>
        </is>
      </c>
      <c r="G54" s="9" t="n">
        <v>2025</v>
      </c>
      <c r="H54" s="12" t="n">
        <v>89700</v>
      </c>
      <c r="I54" s="13" t="n">
        <v>0</v>
      </c>
      <c r="J54" s="11" t="inlineStr">
        <is>
          <t>Locação (leasing)</t>
        </is>
      </c>
      <c r="K54" s="11" t="inlineStr">
        <is>
          <t>New Orleans</t>
        </is>
      </c>
      <c r="L54" s="9" t="inlineStr">
        <is>
          <t>LA</t>
        </is>
      </c>
      <c r="M54" s="9" t="inlineStr">
        <is>
          <t>Sul</t>
        </is>
      </c>
      <c r="N54" s="11" t="inlineStr">
        <is>
          <t>Entregue</t>
        </is>
      </c>
      <c r="O54" s="9" t="inlineStr">
        <is>
          <t>Entregue</t>
        </is>
      </c>
    </row>
    <row r="55">
      <c r="A55" s="4" t="n">
        <v>56</v>
      </c>
      <c r="B55" s="4" t="inlineStr">
        <is>
          <t>2026-03-14</t>
        </is>
      </c>
      <c r="C55" s="14" t="inlineStr">
        <is>
          <t>Sim</t>
        </is>
      </c>
      <c r="D55" s="6" t="inlineStr">
        <is>
          <t>911 Carrera S</t>
        </is>
      </c>
      <c r="E55" s="4" t="inlineStr">
        <is>
          <t>911</t>
        </is>
      </c>
      <c r="F55" s="4" t="inlineStr">
        <is>
          <t>Combustão</t>
        </is>
      </c>
      <c r="G55" s="4" t="n">
        <v>2022</v>
      </c>
      <c r="H55" s="7" t="n">
        <v>104600</v>
      </c>
      <c r="I55" s="8" t="n">
        <v>15900</v>
      </c>
      <c r="J55" s="6" t="inlineStr">
        <is>
          <t>Transferência bancária</t>
        </is>
      </c>
      <c r="K55" s="6" t="inlineStr">
        <is>
          <t>Honolulu</t>
        </is>
      </c>
      <c r="L55" s="4" t="inlineStr">
        <is>
          <t>HI</t>
        </is>
      </c>
      <c r="M55" s="4" t="inlineStr">
        <is>
          <t>Oeste</t>
        </is>
      </c>
      <c r="N55" s="6" t="inlineStr">
        <is>
          <t>Cancelado</t>
        </is>
      </c>
      <c r="O55" s="4" t="inlineStr">
        <is>
          <t>Cancelado</t>
        </is>
      </c>
    </row>
    <row r="56">
      <c r="A56" s="9" t="n">
        <v>57</v>
      </c>
      <c r="B56" s="9" t="n"/>
      <c r="C56" s="15" t="inlineStr">
        <is>
          <t>Não</t>
        </is>
      </c>
      <c r="D56" s="11" t="inlineStr">
        <is>
          <t>Taycan GTS</t>
        </is>
      </c>
      <c r="E56" s="9" t="inlineStr">
        <is>
          <t>Taycan</t>
        </is>
      </c>
      <c r="F56" s="9" t="inlineStr">
        <is>
          <t>Elétrico</t>
        </is>
      </c>
      <c r="G56" s="9" t="n">
        <v>2024</v>
      </c>
      <c r="H56" s="12" t="n">
        <v>142000</v>
      </c>
      <c r="I56" s="13" t="n">
        <v>6600</v>
      </c>
      <c r="J56" s="11" t="inlineStr">
        <is>
          <t>Transferência (wire)</t>
        </is>
      </c>
      <c r="K56" s="11" t="inlineStr">
        <is>
          <t>Anaheim</t>
        </is>
      </c>
      <c r="L56" s="9" t="inlineStr">
        <is>
          <t>CA</t>
        </is>
      </c>
      <c r="M56" s="9" t="inlineStr">
        <is>
          <t>Oeste</t>
        </is>
      </c>
      <c r="N56" s="11" t="inlineStr">
        <is>
          <t>Entregue</t>
        </is>
      </c>
      <c r="O56" s="9" t="inlineStr">
        <is>
          <t>Entregue</t>
        </is>
      </c>
    </row>
    <row r="57">
      <c r="A57" s="4" t="n">
        <v>58</v>
      </c>
      <c r="B57" s="4" t="inlineStr">
        <is>
          <t>2026-04-08</t>
        </is>
      </c>
      <c r="C57" s="14" t="inlineStr">
        <is>
          <t>Sim</t>
        </is>
      </c>
      <c r="D57" s="6" t="inlineStr">
        <is>
          <t>Cayenne</t>
        </is>
      </c>
      <c r="E57" s="4" t="inlineStr">
        <is>
          <t>Cayenne</t>
        </is>
      </c>
      <c r="F57" s="4" t="inlineStr">
        <is>
          <t>Combustão</t>
        </is>
      </c>
      <c r="G57" s="4" t="n">
        <v>2021</v>
      </c>
      <c r="H57" s="7" t="n">
        <v>78400</v>
      </c>
      <c r="I57" s="8" t="n">
        <v>40250</v>
      </c>
      <c r="J57" s="6" t="inlineStr">
        <is>
          <t>Dinheiro</t>
        </is>
      </c>
      <c r="K57" s="6" t="inlineStr">
        <is>
          <t>Henderson</t>
        </is>
      </c>
      <c r="L57" s="4" t="inlineStr">
        <is>
          <t>NV</t>
        </is>
      </c>
      <c r="M57" s="4" t="inlineStr">
        <is>
          <t>Oeste</t>
        </is>
      </c>
      <c r="N57" s="6" t="inlineStr">
        <is>
          <t>Aguardando análise</t>
        </is>
      </c>
      <c r="O57" s="4" t="inlineStr">
        <is>
          <t>Aguardando</t>
        </is>
      </c>
    </row>
    <row r="58">
      <c r="A58" s="9" t="n">
        <v>59</v>
      </c>
      <c r="B58" s="9" t="n"/>
      <c r="C58" s="15" t="inlineStr">
        <is>
          <t>Não</t>
        </is>
      </c>
      <c r="D58" s="11" t="inlineStr">
        <is>
          <t>718 Spyder RS</t>
        </is>
      </c>
      <c r="E58" s="9" t="inlineStr">
        <is>
          <t>718</t>
        </is>
      </c>
      <c r="F58" s="9" t="inlineStr">
        <is>
          <t>Combustão</t>
        </is>
      </c>
      <c r="G58" s="9" t="n">
        <v>2025</v>
      </c>
      <c r="H58" s="12" t="n">
        <v>169000</v>
      </c>
      <c r="I58" s="13" t="n">
        <v>850</v>
      </c>
      <c r="J58" s="11" t="inlineStr">
        <is>
          <t>Financiamento</t>
        </is>
      </c>
      <c r="K58" s="11" t="inlineStr">
        <is>
          <t>Lexington</t>
        </is>
      </c>
      <c r="L58" s="9" t="inlineStr">
        <is>
          <t>KY</t>
        </is>
      </c>
      <c r="M58" s="9" t="inlineStr">
        <is>
          <t>Sul</t>
        </is>
      </c>
      <c r="N58" s="11" t="inlineStr">
        <is>
          <t>Em trânsito</t>
        </is>
      </c>
      <c r="O58" s="9" t="inlineStr">
        <is>
          <t>Em trânsito</t>
        </is>
      </c>
    </row>
    <row r="59">
      <c r="A59" s="4" t="n">
        <v>60</v>
      </c>
      <c r="B59" s="4" t="inlineStr">
        <is>
          <t>2026-04-21</t>
        </is>
      </c>
      <c r="C59" s="14" t="inlineStr">
        <is>
          <t>Sim</t>
        </is>
      </c>
      <c r="D59" s="6" t="inlineStr">
        <is>
          <t>911 Dakar</t>
        </is>
      </c>
      <c r="E59" s="4" t="inlineStr">
        <is>
          <t>911</t>
        </is>
      </c>
      <c r="F59" s="4" t="inlineStr">
        <is>
          <t>Combustão</t>
        </is>
      </c>
      <c r="G59" s="4" t="n">
        <v>2024</v>
      </c>
      <c r="H59" s="7" t="n">
        <v>268900</v>
      </c>
      <c r="I59" s="8" t="n">
        <v>1400</v>
      </c>
      <c r="J59" s="6" t="inlineStr">
        <is>
          <t>Cartão de crédito</t>
        </is>
      </c>
      <c r="K59" s="6" t="inlineStr">
        <is>
          <t>Riverside</t>
        </is>
      </c>
      <c r="L59" s="4" t="inlineStr">
        <is>
          <t>CA</t>
        </is>
      </c>
      <c r="M59" s="4" t="inlineStr">
        <is>
          <t>Oeste</t>
        </is>
      </c>
      <c r="N59" s="6" t="inlineStr">
        <is>
          <t>Entregue</t>
        </is>
      </c>
      <c r="O59" s="4" t="inlineStr">
        <is>
          <t>Entregue</t>
        </is>
      </c>
    </row>
    <row r="60">
      <c r="A60" s="9" t="n">
        <v>61</v>
      </c>
      <c r="B60" s="9" t="inlineStr">
        <is>
          <t>2026-04-29</t>
        </is>
      </c>
      <c r="C60" s="10" t="inlineStr">
        <is>
          <t>Sim</t>
        </is>
      </c>
      <c r="D60" s="11" t="inlineStr">
        <is>
          <t>Panamera 4</t>
        </is>
      </c>
      <c r="E60" s="9" t="inlineStr">
        <is>
          <t>Panamera</t>
        </is>
      </c>
      <c r="F60" s="9" t="inlineStr">
        <is>
          <t>Combustão</t>
        </is>
      </c>
      <c r="G60" s="9" t="n">
        <v>2023</v>
      </c>
      <c r="H60" s="12" t="n">
        <v>101300</v>
      </c>
      <c r="I60" s="13" t="n">
        <v>12700</v>
      </c>
      <c r="J60" s="11" t="inlineStr">
        <is>
          <t>Transferência (wire)</t>
        </is>
      </c>
      <c r="K60" s="11" t="inlineStr">
        <is>
          <t>Corpus Christi</t>
        </is>
      </c>
      <c r="L60" s="9" t="inlineStr">
        <is>
          <t>TX</t>
        </is>
      </c>
      <c r="M60" s="9" t="inlineStr">
        <is>
          <t>Sul</t>
        </is>
      </c>
      <c r="N60" s="11" t="inlineStr">
        <is>
          <t>Pendente</t>
        </is>
      </c>
      <c r="O60" s="9" t="inlineStr">
        <is>
          <t>Pendente</t>
        </is>
      </c>
    </row>
    <row r="61">
      <c r="A61" s="4" t="n">
        <v>62</v>
      </c>
      <c r="B61" s="4" t="inlineStr">
        <is>
          <t>2026-05-05</t>
        </is>
      </c>
      <c r="C61" s="14" t="inlineStr">
        <is>
          <t>Sim</t>
        </is>
      </c>
      <c r="D61" s="6" t="inlineStr">
        <is>
          <t>Macan S</t>
        </is>
      </c>
      <c r="E61" s="4" t="inlineStr">
        <is>
          <t>Macan</t>
        </is>
      </c>
      <c r="F61" s="4" t="inlineStr">
        <is>
          <t>Combustão</t>
        </is>
      </c>
      <c r="G61" s="4" t="n">
        <v>2021</v>
      </c>
      <c r="H61" s="7" t="n">
        <v>66750</v>
      </c>
      <c r="I61" s="8" t="n">
        <v>29800</v>
      </c>
      <c r="J61" s="6" t="inlineStr">
        <is>
          <t>Dinheiro</t>
        </is>
      </c>
      <c r="K61" s="6" t="inlineStr">
        <is>
          <t>St. Louis</t>
        </is>
      </c>
      <c r="L61" s="4" t="inlineStr">
        <is>
          <t>MO</t>
        </is>
      </c>
      <c r="M61" s="4" t="inlineStr">
        <is>
          <t>Centro-Oeste</t>
        </is>
      </c>
      <c r="N61" s="6" t="inlineStr">
        <is>
          <t>Entregue</t>
        </is>
      </c>
      <c r="O61" s="4" t="inlineStr">
        <is>
          <t>Entregue</t>
        </is>
      </c>
    </row>
    <row r="62">
      <c r="A62" s="9" t="n">
        <v>63</v>
      </c>
      <c r="B62" s="9" t="inlineStr">
        <is>
          <t>2026-05-14</t>
        </is>
      </c>
      <c r="C62" s="10" t="inlineStr">
        <is>
          <t>Sim</t>
        </is>
      </c>
      <c r="D62" s="11" t="inlineStr">
        <is>
          <t>Taycan Cross Turismo</t>
        </is>
      </c>
      <c r="E62" s="9" t="inlineStr">
        <is>
          <t>Taycan</t>
        </is>
      </c>
      <c r="F62" s="9" t="inlineStr">
        <is>
          <t>Elétrico</t>
        </is>
      </c>
      <c r="G62" s="9" t="n">
        <v>2024</v>
      </c>
      <c r="H62" s="12" t="n">
        <v>127900</v>
      </c>
      <c r="I62" s="13" t="n">
        <v>7500</v>
      </c>
      <c r="J62" s="11" t="inlineStr">
        <is>
          <t>Locação (leasing)</t>
        </is>
      </c>
      <c r="K62" s="11" t="inlineStr">
        <is>
          <t>Pittsburgh</t>
        </is>
      </c>
      <c r="L62" s="9" t="inlineStr">
        <is>
          <t>PA</t>
        </is>
      </c>
      <c r="M62" s="9" t="inlineStr">
        <is>
          <t>Nordeste</t>
        </is>
      </c>
      <c r="N62" s="11" t="inlineStr">
        <is>
          <t>Em trânsito</t>
        </is>
      </c>
      <c r="O62" s="9" t="inlineStr">
        <is>
          <t>Em trânsito</t>
        </is>
      </c>
    </row>
    <row r="63">
      <c r="A63" s="4" t="n">
        <v>64</v>
      </c>
      <c r="B63" s="4" t="inlineStr">
        <is>
          <t>2026-05-23</t>
        </is>
      </c>
      <c r="C63" s="14" t="inlineStr">
        <is>
          <t>Sim</t>
        </is>
      </c>
      <c r="D63" s="6" t="inlineStr">
        <is>
          <t>Cayenne Turbo GT</t>
        </is>
      </c>
      <c r="E63" s="4" t="inlineStr">
        <is>
          <t>Cayenne</t>
        </is>
      </c>
      <c r="F63" s="4" t="inlineStr">
        <is>
          <t>Combustão</t>
        </is>
      </c>
      <c r="G63" s="4" t="n">
        <v>2025</v>
      </c>
      <c r="H63" s="7" t="n">
        <v>200000</v>
      </c>
      <c r="I63" s="8" t="n">
        <v>1950</v>
      </c>
      <c r="J63" s="6" t="inlineStr">
        <is>
          <t>Transferência (wire)</t>
        </is>
      </c>
      <c r="K63" s="6" t="inlineStr">
        <is>
          <t>Cincinnati</t>
        </is>
      </c>
      <c r="L63" s="4" t="inlineStr">
        <is>
          <t>OH</t>
        </is>
      </c>
      <c r="M63" s="4" t="inlineStr">
        <is>
          <t>Centro-Oeste</t>
        </is>
      </c>
      <c r="N63" s="6" t="inlineStr">
        <is>
          <t>Entregue</t>
        </is>
      </c>
      <c r="O63" s="4" t="inlineStr">
        <is>
          <t>Entregue</t>
        </is>
      </c>
    </row>
    <row r="64">
      <c r="A64" s="9" t="n">
        <v>65</v>
      </c>
      <c r="B64" s="9" t="inlineStr">
        <is>
          <t>2026-06-02</t>
        </is>
      </c>
      <c r="C64" s="10" t="inlineStr">
        <is>
          <t>Sim</t>
        </is>
      </c>
      <c r="D64" s="11" t="inlineStr">
        <is>
          <t>911 Carrera Cabriolet</t>
        </is>
      </c>
      <c r="E64" s="9" t="inlineStr">
        <is>
          <t>911</t>
        </is>
      </c>
      <c r="F64" s="9" t="inlineStr">
        <is>
          <t>Combustão</t>
        </is>
      </c>
      <c r="G64" s="9" t="n">
        <v>2023</v>
      </c>
      <c r="H64" s="12" t="n">
        <v>132000</v>
      </c>
      <c r="I64" s="13" t="n">
        <v>8800</v>
      </c>
      <c r="J64" s="11" t="inlineStr">
        <is>
          <t>Cripto</t>
        </is>
      </c>
      <c r="K64" s="11" t="inlineStr">
        <is>
          <t>Anchorage</t>
        </is>
      </c>
      <c r="L64" s="9" t="inlineStr">
        <is>
          <t>AK</t>
        </is>
      </c>
      <c r="M64" s="9" t="inlineStr">
        <is>
          <t>Oeste</t>
        </is>
      </c>
      <c r="N64" s="11" t="inlineStr">
        <is>
          <t>Em análise</t>
        </is>
      </c>
      <c r="O64" s="9" t="inlineStr">
        <is>
          <t>Pendente</t>
        </is>
      </c>
    </row>
    <row r="65">
      <c r="A65" s="4" t="n">
        <v>66</v>
      </c>
      <c r="B65" s="4" t="inlineStr">
        <is>
          <t>2026-06-15</t>
        </is>
      </c>
      <c r="C65" s="14" t="inlineStr">
        <is>
          <t>Sim</t>
        </is>
      </c>
      <c r="D65" s="6" t="inlineStr">
        <is>
          <t>718 Cayman GT4 RS</t>
        </is>
      </c>
      <c r="E65" s="4" t="inlineStr">
        <is>
          <t>718</t>
        </is>
      </c>
      <c r="F65" s="4" t="inlineStr">
        <is>
          <t>Combustão</t>
        </is>
      </c>
      <c r="G65" s="4" t="n">
        <v>2024</v>
      </c>
      <c r="H65" s="7" t="n">
        <v>176400</v>
      </c>
      <c r="I65" s="8" t="n">
        <v>600</v>
      </c>
      <c r="J65" s="6" t="inlineStr">
        <is>
          <t>Cartão de crédito</t>
        </is>
      </c>
      <c r="K65" s="6" t="inlineStr">
        <is>
          <t>Plano</t>
        </is>
      </c>
      <c r="L65" s="4" t="inlineStr">
        <is>
          <t>TX</t>
        </is>
      </c>
      <c r="M65" s="4" t="inlineStr">
        <is>
          <t>Sul</t>
        </is>
      </c>
      <c r="N65" s="6" t="inlineStr">
        <is>
          <t>Entregue</t>
        </is>
      </c>
      <c r="O65" s="4" t="inlineStr">
        <is>
          <t>Entregue</t>
        </is>
      </c>
    </row>
    <row r="66">
      <c r="A66" s="9" t="n">
        <v>67</v>
      </c>
      <c r="B66" s="9" t="n"/>
      <c r="C66" s="15" t="inlineStr">
        <is>
          <t>Não</t>
        </is>
      </c>
      <c r="D66" s="11" t="inlineStr">
        <is>
          <t>Panamera 4 E-Hybrid</t>
        </is>
      </c>
      <c r="E66" s="9" t="inlineStr">
        <is>
          <t>Panamera</t>
        </is>
      </c>
      <c r="F66" s="9" t="inlineStr">
        <is>
          <t>Híbrido</t>
        </is>
      </c>
      <c r="G66" s="9" t="n">
        <v>2022</v>
      </c>
      <c r="H66" s="12" t="n">
        <v>108500</v>
      </c>
      <c r="I66" s="13" t="n">
        <v>16200</v>
      </c>
      <c r="J66" s="11" t="inlineStr">
        <is>
          <t>Transferência bancária</t>
        </is>
      </c>
      <c r="K66" s="11" t="inlineStr">
        <is>
          <t>Newark</t>
        </is>
      </c>
      <c r="L66" s="9" t="inlineStr">
        <is>
          <t>NJ</t>
        </is>
      </c>
      <c r="M66" s="9" t="inlineStr">
        <is>
          <t>Nordeste</t>
        </is>
      </c>
      <c r="N66" s="11" t="inlineStr">
        <is>
          <t>Cancelado</t>
        </is>
      </c>
      <c r="O66" s="9" t="inlineStr">
        <is>
          <t>Cancelado</t>
        </is>
      </c>
    </row>
    <row r="67">
      <c r="A67" s="4" t="n">
        <v>68</v>
      </c>
      <c r="B67" s="4" t="inlineStr">
        <is>
          <t>2026-07-07</t>
        </is>
      </c>
      <c r="C67" s="14" t="inlineStr">
        <is>
          <t>Sim</t>
        </is>
      </c>
      <c r="D67" s="6" t="inlineStr">
        <is>
          <t>Macan</t>
        </is>
      </c>
      <c r="E67" s="4" t="inlineStr">
        <is>
          <t>Macan</t>
        </is>
      </c>
      <c r="F67" s="4" t="inlineStr">
        <is>
          <t>Combustão</t>
        </is>
      </c>
      <c r="G67" s="4" t="n">
        <v>2021</v>
      </c>
      <c r="H67" s="7" t="n">
        <v>59000</v>
      </c>
      <c r="I67" s="8" t="n">
        <v>36000</v>
      </c>
      <c r="J67" s="6" t="inlineStr">
        <is>
          <t>Financiamento</t>
        </is>
      </c>
      <c r="K67" s="6" t="inlineStr">
        <is>
          <t>Greensboro</t>
        </is>
      </c>
      <c r="L67" s="4" t="inlineStr">
        <is>
          <t>NC</t>
        </is>
      </c>
      <c r="M67" s="4" t="inlineStr">
        <is>
          <t>Sul</t>
        </is>
      </c>
      <c r="N67" s="6" t="inlineStr">
        <is>
          <t>Aguardando entrega</t>
        </is>
      </c>
      <c r="O67" s="4" t="inlineStr">
        <is>
          <t>Aguardando</t>
        </is>
      </c>
    </row>
    <row r="68">
      <c r="A68" s="9" t="n">
        <v>69</v>
      </c>
      <c r="B68" s="9" t="inlineStr">
        <is>
          <t>2026-07-20</t>
        </is>
      </c>
      <c r="C68" s="10" t="inlineStr">
        <is>
          <t>Sim</t>
        </is>
      </c>
      <c r="D68" s="11" t="inlineStr">
        <is>
          <t>Taycan Turbo S</t>
        </is>
      </c>
      <c r="E68" s="9" t="inlineStr">
        <is>
          <t>Taycan</t>
        </is>
      </c>
      <c r="F68" s="9" t="inlineStr">
        <is>
          <t>Elétrico</t>
        </is>
      </c>
      <c r="G68" s="9" t="n">
        <v>2025</v>
      </c>
      <c r="H68" s="12" t="n">
        <v>218000</v>
      </c>
      <c r="I68" s="13" t="n">
        <v>0</v>
      </c>
      <c r="J68" s="11" t="inlineStr">
        <is>
          <t>Transferência (wire)</t>
        </is>
      </c>
      <c r="K68" s="11" t="inlineStr">
        <is>
          <t>Lincoln</t>
        </is>
      </c>
      <c r="L68" s="9" t="inlineStr">
        <is>
          <t>NE</t>
        </is>
      </c>
      <c r="M68" s="9" t="inlineStr">
        <is>
          <t>Centro-Oeste</t>
        </is>
      </c>
      <c r="N68" s="11" t="inlineStr">
        <is>
          <t>Pendente</t>
        </is>
      </c>
      <c r="O68" s="9" t="inlineStr">
        <is>
          <t>Pendente</t>
        </is>
      </c>
    </row>
    <row r="69">
      <c r="A69" s="4" t="n">
        <v>70</v>
      </c>
      <c r="B69" s="4" t="n"/>
      <c r="C69" s="5" t="inlineStr">
        <is>
          <t>Não</t>
        </is>
      </c>
      <c r="D69" s="6" t="inlineStr">
        <is>
          <t>Cayenne S</t>
        </is>
      </c>
      <c r="E69" s="4" t="inlineStr">
        <is>
          <t>Cayenne</t>
        </is>
      </c>
      <c r="F69" s="4" t="inlineStr">
        <is>
          <t>Combustão</t>
        </is>
      </c>
      <c r="G69" s="4" t="n">
        <v>2024</v>
      </c>
      <c r="H69" s="7" t="n">
        <v>99950</v>
      </c>
      <c r="I69" s="8" t="n">
        <v>5300</v>
      </c>
      <c r="J69" s="6" t="inlineStr">
        <is>
          <t>Cartão de débito</t>
        </is>
      </c>
      <c r="K69" s="6" t="inlineStr">
        <is>
          <t>Jersey City</t>
        </is>
      </c>
      <c r="L69" s="4" t="inlineStr">
        <is>
          <t>NJ</t>
        </is>
      </c>
      <c r="M69" s="4" t="inlineStr">
        <is>
          <t>Nordeste</t>
        </is>
      </c>
      <c r="N69" s="6" t="inlineStr">
        <is>
          <t>Entregue</t>
        </is>
      </c>
      <c r="O69" s="4" t="inlineStr">
        <is>
          <t>Entregue</t>
        </is>
      </c>
    </row>
    <row r="70">
      <c r="A70" s="9" t="n">
        <v>71</v>
      </c>
      <c r="B70" s="9" t="inlineStr">
        <is>
          <t>2026-04-08</t>
        </is>
      </c>
      <c r="C70" s="10" t="inlineStr">
        <is>
          <t>Sim</t>
        </is>
      </c>
      <c r="D70" s="11" t="inlineStr">
        <is>
          <t>911 Carrera GTS</t>
        </is>
      </c>
      <c r="E70" s="9" t="inlineStr">
        <is>
          <t>911</t>
        </is>
      </c>
      <c r="F70" s="9" t="inlineStr">
        <is>
          <t>Combustão</t>
        </is>
      </c>
      <c r="G70" s="9" t="n">
        <v>2024</v>
      </c>
      <c r="H70" s="12" t="n">
        <v>121750</v>
      </c>
      <c r="I70" s="13" t="n">
        <v>5872</v>
      </c>
      <c r="J70" s="11" t="inlineStr">
        <is>
          <t>Cartão de crédito</t>
        </is>
      </c>
      <c r="K70" s="11" t="inlineStr">
        <is>
          <t>Chandler</t>
        </is>
      </c>
      <c r="L70" s="9" t="inlineStr">
        <is>
          <t>AZ</t>
        </is>
      </c>
      <c r="M70" s="9" t="inlineStr">
        <is>
          <t>Oeste</t>
        </is>
      </c>
      <c r="N70" s="11" t="inlineStr">
        <is>
          <t>Entregue</t>
        </is>
      </c>
      <c r="O70" s="9" t="inlineStr">
        <is>
          <t>Entregue</t>
        </is>
      </c>
    </row>
    <row r="71">
      <c r="A71" s="4" t="n">
        <v>72</v>
      </c>
      <c r="B71" s="4" t="inlineStr">
        <is>
          <t>2026-08-18</t>
        </is>
      </c>
      <c r="C71" s="14" t="inlineStr">
        <is>
          <t>Sim</t>
        </is>
      </c>
      <c r="D71" s="6" t="inlineStr">
        <is>
          <t>718 Boxster GTS</t>
        </is>
      </c>
      <c r="E71" s="4" t="inlineStr">
        <is>
          <t>718</t>
        </is>
      </c>
      <c r="F71" s="4" t="inlineStr">
        <is>
          <t>Combustão</t>
        </is>
      </c>
      <c r="G71" s="4" t="n">
        <v>2023</v>
      </c>
      <c r="H71" s="7" t="n">
        <v>91500</v>
      </c>
      <c r="I71" s="8" t="n">
        <v>13300</v>
      </c>
      <c r="J71" s="6" t="inlineStr">
        <is>
          <t>Locação (leasing)</t>
        </is>
      </c>
      <c r="K71" s="6" t="inlineStr">
        <is>
          <t>Reno</t>
        </is>
      </c>
      <c r="L71" s="4" t="inlineStr">
        <is>
          <t>NV</t>
        </is>
      </c>
      <c r="M71" s="4" t="inlineStr">
        <is>
          <t>Oeste</t>
        </is>
      </c>
      <c r="N71" s="6" t="inlineStr">
        <is>
          <t>Enviado</t>
        </is>
      </c>
      <c r="O71" s="4" t="inlineStr">
        <is>
          <t>Em trânsito</t>
        </is>
      </c>
    </row>
    <row r="72">
      <c r="A72" s="9" t="n">
        <v>73</v>
      </c>
      <c r="B72" s="9" t="inlineStr">
        <is>
          <t>2026-08-31</t>
        </is>
      </c>
      <c r="C72" s="10" t="inlineStr">
        <is>
          <t>Sim</t>
        </is>
      </c>
      <c r="D72" s="11" t="inlineStr">
        <is>
          <t>Panamera Turbo S</t>
        </is>
      </c>
      <c r="E72" s="9" t="inlineStr">
        <is>
          <t>Panamera</t>
        </is>
      </c>
      <c r="F72" s="9" t="inlineStr">
        <is>
          <t>Combustão</t>
        </is>
      </c>
      <c r="G72" s="9" t="n">
        <v>2022</v>
      </c>
      <c r="H72" s="12" t="n">
        <v>134000</v>
      </c>
      <c r="I72" s="13" t="n">
        <v>20100</v>
      </c>
      <c r="J72" s="11" t="inlineStr">
        <is>
          <t>Transferência (wire)</t>
        </is>
      </c>
      <c r="K72" s="11" t="inlineStr">
        <is>
          <t>Buffalo</t>
        </is>
      </c>
      <c r="L72" s="9" t="inlineStr">
        <is>
          <t>NY</t>
        </is>
      </c>
      <c r="M72" s="9" t="inlineStr">
        <is>
          <t>Nordeste</t>
        </is>
      </c>
      <c r="N72" s="11" t="inlineStr">
        <is>
          <t>Em trânsito</t>
        </is>
      </c>
      <c r="O72" s="9" t="inlineStr">
        <is>
          <t>Em trânsito</t>
        </is>
      </c>
    </row>
    <row r="73">
      <c r="A73" s="4" t="n">
        <v>74</v>
      </c>
      <c r="B73" s="4" t="inlineStr">
        <is>
          <t>2026-09-09</t>
        </is>
      </c>
      <c r="C73" s="14" t="inlineStr">
        <is>
          <t>Sim</t>
        </is>
      </c>
      <c r="D73" s="6" t="inlineStr">
        <is>
          <t>Macan GTS</t>
        </is>
      </c>
      <c r="E73" s="4" t="inlineStr">
        <is>
          <t>Macan</t>
        </is>
      </c>
      <c r="F73" s="4" t="inlineStr">
        <is>
          <t>Combustão</t>
        </is>
      </c>
      <c r="G73" s="4" t="n">
        <v>2024</v>
      </c>
      <c r="H73" s="7" t="n">
        <v>96800</v>
      </c>
      <c r="I73" s="8" t="n">
        <v>0</v>
      </c>
      <c r="J73" s="6" t="inlineStr">
        <is>
          <t>ACH</t>
        </is>
      </c>
      <c r="K73" s="6" t="inlineStr">
        <is>
          <t>Durham</t>
        </is>
      </c>
      <c r="L73" s="4" t="inlineStr">
        <is>
          <t>NC</t>
        </is>
      </c>
      <c r="M73" s="4" t="inlineStr">
        <is>
          <t>Sul</t>
        </is>
      </c>
      <c r="N73" s="6" t="inlineStr">
        <is>
          <t>Entregue</t>
        </is>
      </c>
      <c r="O73" s="4" t="inlineStr">
        <is>
          <t>Entregue</t>
        </is>
      </c>
    </row>
    <row r="74">
      <c r="A74" s="9" t="n">
        <v>75</v>
      </c>
      <c r="B74" s="9" t="inlineStr">
        <is>
          <t>2026-09-17</t>
        </is>
      </c>
      <c r="C74" s="10" t="inlineStr">
        <is>
          <t>Sim</t>
        </is>
      </c>
      <c r="D74" s="11" t="inlineStr">
        <is>
          <t>Taycan 4S</t>
        </is>
      </c>
      <c r="E74" s="9" t="inlineStr">
        <is>
          <t>Taycan</t>
        </is>
      </c>
      <c r="F74" s="9" t="inlineStr">
        <is>
          <t>Elétrico</t>
        </is>
      </c>
      <c r="G74" s="9" t="n">
        <v>2025</v>
      </c>
      <c r="H74" s="12" t="n">
        <v>131600</v>
      </c>
      <c r="I74" s="13" t="n">
        <v>2900</v>
      </c>
      <c r="J74" s="11" t="inlineStr">
        <is>
          <t>Transferência (wire)</t>
        </is>
      </c>
      <c r="K74" s="11" t="inlineStr">
        <is>
          <t>Laredo</t>
        </is>
      </c>
      <c r="L74" s="9" t="inlineStr">
        <is>
          <t>TX</t>
        </is>
      </c>
      <c r="M74" s="9" t="inlineStr">
        <is>
          <t>Sul</t>
        </is>
      </c>
      <c r="N74" s="11" t="inlineStr">
        <is>
          <t>Aguardando aprovação</t>
        </is>
      </c>
      <c r="O74" s="9" t="inlineStr">
        <is>
          <t>Pendente</t>
        </is>
      </c>
    </row>
    <row r="75">
      <c r="A75" s="4" t="n">
        <v>76</v>
      </c>
      <c r="B75" s="4" t="inlineStr">
        <is>
          <t>2026-09-28</t>
        </is>
      </c>
      <c r="C75" s="14" t="inlineStr">
        <is>
          <t>Sim</t>
        </is>
      </c>
      <c r="D75" s="6" t="inlineStr">
        <is>
          <t>Cayenne E-Hybrid</t>
        </is>
      </c>
      <c r="E75" s="4" t="inlineStr">
        <is>
          <t>Cayenne</t>
        </is>
      </c>
      <c r="F75" s="4" t="inlineStr">
        <is>
          <t>Híbrido</t>
        </is>
      </c>
      <c r="G75" s="4" t="n">
        <v>2023</v>
      </c>
      <c r="H75" s="7" t="n">
        <v>94300</v>
      </c>
      <c r="I75" s="8" t="n">
        <v>13100</v>
      </c>
      <c r="J75" s="6" t="inlineStr">
        <is>
          <t>Dinheiro</t>
        </is>
      </c>
      <c r="K75" s="6" t="inlineStr">
        <is>
          <t>Madison</t>
        </is>
      </c>
      <c r="L75" s="4" t="inlineStr">
        <is>
          <t>WI</t>
        </is>
      </c>
      <c r="M75" s="4" t="inlineStr">
        <is>
          <t>Centro-Oeste</t>
        </is>
      </c>
      <c r="N75" s="6" t="inlineStr">
        <is>
          <t>Entregue</t>
        </is>
      </c>
      <c r="O75" s="4" t="inlineStr">
        <is>
          <t>Entregue</t>
        </is>
      </c>
    </row>
    <row r="76">
      <c r="A76" s="9" t="n">
        <v>77</v>
      </c>
      <c r="B76" s="9" t="inlineStr">
        <is>
          <t>2026-10-06</t>
        </is>
      </c>
      <c r="C76" s="10" t="inlineStr">
        <is>
          <t>Sim</t>
        </is>
      </c>
      <c r="D76" s="11" t="inlineStr">
        <is>
          <t>911 Turbo S</t>
        </is>
      </c>
      <c r="E76" s="9" t="inlineStr">
        <is>
          <t>911</t>
        </is>
      </c>
      <c r="F76" s="9" t="inlineStr">
        <is>
          <t>Combustão</t>
        </is>
      </c>
      <c r="G76" s="9" t="n">
        <v>2025</v>
      </c>
      <c r="H76" s="12" t="n">
        <v>242000</v>
      </c>
      <c r="I76" s="13" t="n">
        <v>1100</v>
      </c>
      <c r="J76" s="11" t="inlineStr">
        <is>
          <t>Cripto</t>
        </is>
      </c>
      <c r="K76" s="11" t="inlineStr">
        <is>
          <t>Lubbock</t>
        </is>
      </c>
      <c r="L76" s="9" t="inlineStr">
        <is>
          <t>TX</t>
        </is>
      </c>
      <c r="M76" s="9" t="inlineStr">
        <is>
          <t>Sul</t>
        </is>
      </c>
      <c r="N76" s="11" t="inlineStr">
        <is>
          <t>Aguardando retirada</t>
        </is>
      </c>
      <c r="O76" s="9" t="inlineStr">
        <is>
          <t>Aguardando</t>
        </is>
      </c>
    </row>
    <row r="77">
      <c r="A77" s="4" t="n">
        <v>78</v>
      </c>
      <c r="B77" s="4" t="inlineStr">
        <is>
          <t>2026-10-16</t>
        </is>
      </c>
      <c r="C77" s="14" t="inlineStr">
        <is>
          <t>Sim</t>
        </is>
      </c>
      <c r="D77" s="6" t="inlineStr">
        <is>
          <t>718 Cayman S</t>
        </is>
      </c>
      <c r="E77" s="4" t="inlineStr">
        <is>
          <t>718</t>
        </is>
      </c>
      <c r="F77" s="4" t="inlineStr">
        <is>
          <t>Combustão</t>
        </is>
      </c>
      <c r="G77" s="4" t="n">
        <v>2022</v>
      </c>
      <c r="H77" s="7" t="n">
        <v>82750</v>
      </c>
      <c r="I77" s="8" t="n">
        <v>22500</v>
      </c>
      <c r="J77" s="6" t="inlineStr">
        <is>
          <t>Cartão de crédito</t>
        </is>
      </c>
      <c r="K77" s="6" t="inlineStr">
        <is>
          <t>Toledo</t>
        </is>
      </c>
      <c r="L77" s="4" t="inlineStr">
        <is>
          <t>OH</t>
        </is>
      </c>
      <c r="M77" s="4" t="inlineStr">
        <is>
          <t>Centro-Oeste</t>
        </is>
      </c>
      <c r="N77" s="6" t="inlineStr">
        <is>
          <t>Cancelado</t>
        </is>
      </c>
      <c r="O77" s="4" t="inlineStr">
        <is>
          <t>Cancelado</t>
        </is>
      </c>
    </row>
    <row r="78">
      <c r="A78" s="9" t="n">
        <v>79</v>
      </c>
      <c r="B78" s="9" t="inlineStr">
        <is>
          <t>2026-10-29</t>
        </is>
      </c>
      <c r="C78" s="10" t="inlineStr">
        <is>
          <t>Sim</t>
        </is>
      </c>
      <c r="D78" s="11" t="inlineStr">
        <is>
          <t>Macan Electric</t>
        </is>
      </c>
      <c r="E78" s="9" t="inlineStr">
        <is>
          <t>Macan</t>
        </is>
      </c>
      <c r="F78" s="9" t="inlineStr">
        <is>
          <t>Elétrico</t>
        </is>
      </c>
      <c r="G78" s="9" t="n">
        <v>2026</v>
      </c>
      <c r="H78" s="12" t="n">
        <v>91300</v>
      </c>
      <c r="I78" s="13" t="n">
        <v>0</v>
      </c>
      <c r="J78" s="11" t="inlineStr">
        <is>
          <t>Transferência (wire)</t>
        </is>
      </c>
      <c r="K78" s="11" t="inlineStr">
        <is>
          <t>Irvine</t>
        </is>
      </c>
      <c r="L78" s="9" t="inlineStr">
        <is>
          <t>CA</t>
        </is>
      </c>
      <c r="M78" s="9" t="inlineStr">
        <is>
          <t>Oeste</t>
        </is>
      </c>
      <c r="N78" s="11" t="inlineStr">
        <is>
          <t>Entregue</t>
        </is>
      </c>
      <c r="O78" s="9" t="inlineStr">
        <is>
          <t>Entregue</t>
        </is>
      </c>
    </row>
    <row r="79">
      <c r="A79" s="4" t="n">
        <v>80</v>
      </c>
      <c r="B79" s="4" t="inlineStr">
        <is>
          <t>2026-11-03</t>
        </is>
      </c>
      <c r="C79" s="14" t="inlineStr">
        <is>
          <t>Sim</t>
        </is>
      </c>
      <c r="D79" s="6" t="inlineStr">
        <is>
          <t>Panamera</t>
        </is>
      </c>
      <c r="E79" s="4" t="inlineStr">
        <is>
          <t>Panamera</t>
        </is>
      </c>
      <c r="F79" s="4" t="inlineStr">
        <is>
          <t>Combustão</t>
        </is>
      </c>
      <c r="G79" s="4" t="n">
        <v>2021</v>
      </c>
      <c r="H79" s="7" t="n">
        <v>79900</v>
      </c>
      <c r="I79" s="8" t="n">
        <v>44800</v>
      </c>
      <c r="J79" s="6" t="inlineStr">
        <is>
          <t>Financiamento</t>
        </is>
      </c>
      <c r="K79" s="6" t="inlineStr">
        <is>
          <t>Garland</t>
        </is>
      </c>
      <c r="L79" s="4" t="inlineStr">
        <is>
          <t>TX</t>
        </is>
      </c>
      <c r="M79" s="4" t="inlineStr">
        <is>
          <t>Sul</t>
        </is>
      </c>
      <c r="N79" s="6" t="inlineStr">
        <is>
          <t>Pendente</t>
        </is>
      </c>
      <c r="O79" s="4" t="inlineStr">
        <is>
          <t>Pendente</t>
        </is>
      </c>
    </row>
    <row r="80">
      <c r="A80" s="9" t="n">
        <v>81</v>
      </c>
      <c r="B80" s="9" t="n"/>
      <c r="C80" s="15" t="inlineStr">
        <is>
          <t>Não</t>
        </is>
      </c>
      <c r="D80" s="11" t="inlineStr">
        <is>
          <t>Cayenne Coupe</t>
        </is>
      </c>
      <c r="E80" s="9" t="inlineStr">
        <is>
          <t>Cayenne</t>
        </is>
      </c>
      <c r="F80" s="9" t="inlineStr">
        <is>
          <t>Combustão</t>
        </is>
      </c>
      <c r="G80" s="9" t="n">
        <v>2024</v>
      </c>
      <c r="H80" s="12" t="n">
        <v>111000</v>
      </c>
      <c r="I80" s="13" t="n">
        <v>6700</v>
      </c>
      <c r="J80" s="11" t="inlineStr">
        <is>
          <t>Transferência bancária</t>
        </is>
      </c>
      <c r="K80" s="11" t="inlineStr">
        <is>
          <t>Irving</t>
        </is>
      </c>
      <c r="L80" s="9" t="inlineStr">
        <is>
          <t>TX</t>
        </is>
      </c>
      <c r="M80" s="9" t="inlineStr">
        <is>
          <t>Sul</t>
        </is>
      </c>
      <c r="N80" s="11" t="inlineStr">
        <is>
          <t>Em trânsito</t>
        </is>
      </c>
      <c r="O80" s="9" t="inlineStr">
        <is>
          <t>Em trânsito</t>
        </is>
      </c>
    </row>
    <row r="81">
      <c r="A81" s="4" t="n">
        <v>82</v>
      </c>
      <c r="B81" s="4" t="inlineStr">
        <is>
          <t>2026-12-11</t>
        </is>
      </c>
      <c r="C81" s="14" t="inlineStr">
        <is>
          <t>Sim</t>
        </is>
      </c>
      <c r="D81" s="6" t="inlineStr">
        <is>
          <t>911 Targa 4S</t>
        </is>
      </c>
      <c r="E81" s="4" t="inlineStr">
        <is>
          <t>911</t>
        </is>
      </c>
      <c r="F81" s="4" t="inlineStr">
        <is>
          <t>Combustão</t>
        </is>
      </c>
      <c r="G81" s="4" t="n">
        <v>2023</v>
      </c>
      <c r="H81" s="7" t="n">
        <v>156500</v>
      </c>
      <c r="I81" s="8" t="n">
        <v>4200</v>
      </c>
      <c r="J81" s="6" t="inlineStr">
        <is>
          <t>Dinheiro</t>
        </is>
      </c>
      <c r="K81" s="6" t="inlineStr">
        <is>
          <t>Chesapeake</t>
        </is>
      </c>
      <c r="L81" s="4" t="inlineStr">
        <is>
          <t>VA</t>
        </is>
      </c>
      <c r="M81" s="4" t="inlineStr">
        <is>
          <t>Sul</t>
        </is>
      </c>
      <c r="N81" s="6" t="inlineStr">
        <is>
          <t>Entregue</t>
        </is>
      </c>
      <c r="O81" s="4" t="inlineStr">
        <is>
          <t>Entregue</t>
        </is>
      </c>
    </row>
    <row r="82">
      <c r="A82" s="9" t="n">
        <v>83</v>
      </c>
      <c r="B82" s="9" t="inlineStr">
        <is>
          <t>2026-12-24</t>
        </is>
      </c>
      <c r="C82" s="10" t="inlineStr">
        <is>
          <t>Sim</t>
        </is>
      </c>
      <c r="D82" s="11" t="inlineStr">
        <is>
          <t>Taycan</t>
        </is>
      </c>
      <c r="E82" s="9" t="inlineStr">
        <is>
          <t>Taycan</t>
        </is>
      </c>
      <c r="F82" s="9" t="inlineStr">
        <is>
          <t>Elétrico</t>
        </is>
      </c>
      <c r="G82" s="9" t="n">
        <v>2025</v>
      </c>
      <c r="H82" s="12" t="n">
        <v>119900</v>
      </c>
      <c r="I82" s="13" t="n">
        <v>1250</v>
      </c>
      <c r="J82" s="11" t="inlineStr">
        <is>
          <t>Locação (leasing)</t>
        </is>
      </c>
      <c r="K82" s="11" t="inlineStr">
        <is>
          <t>Scottsdale</t>
        </is>
      </c>
      <c r="L82" s="9" t="inlineStr">
        <is>
          <t>AZ</t>
        </is>
      </c>
      <c r="M82" s="9" t="inlineStr">
        <is>
          <t>Oeste</t>
        </is>
      </c>
      <c r="N82" s="11" t="inlineStr">
        <is>
          <t>Pendente</t>
        </is>
      </c>
      <c r="O82" s="9" t="inlineStr">
        <is>
          <t>Pendente</t>
        </is>
      </c>
    </row>
    <row r="83">
      <c r="A83" s="4" t="n">
        <v>84</v>
      </c>
      <c r="B83" s="4" t="n"/>
      <c r="C83" s="5" t="inlineStr">
        <is>
          <t>Não</t>
        </is>
      </c>
      <c r="D83" s="6" t="inlineStr">
        <is>
          <t>Macan T</t>
        </is>
      </c>
      <c r="E83" s="4" t="inlineStr">
        <is>
          <t>Macan</t>
        </is>
      </c>
      <c r="F83" s="4" t="inlineStr">
        <is>
          <t>Combustão</t>
        </is>
      </c>
      <c r="G83" s="4" t="n">
        <v>2022</v>
      </c>
      <c r="H83" s="7" t="n">
        <v>73200</v>
      </c>
      <c r="I83" s="8" t="n">
        <v>18600</v>
      </c>
      <c r="J83" s="6" t="inlineStr">
        <is>
          <t>Transferência (wire)</t>
        </is>
      </c>
      <c r="K83" s="6" t="inlineStr">
        <is>
          <t>Norfolk</t>
        </is>
      </c>
      <c r="L83" s="4" t="inlineStr">
        <is>
          <t>VA</t>
        </is>
      </c>
      <c r="M83" s="4" t="inlineStr">
        <is>
          <t>Sul</t>
        </is>
      </c>
      <c r="N83" s="6" t="inlineStr">
        <is>
          <t>Entregue</t>
        </is>
      </c>
      <c r="O83" s="4" t="inlineStr">
        <is>
          <t>Entregue</t>
        </is>
      </c>
    </row>
    <row r="84">
      <c r="A84" s="9" t="n">
        <v>85</v>
      </c>
      <c r="B84" s="9" t="inlineStr">
        <is>
          <t>2026-12-28</t>
        </is>
      </c>
      <c r="C84" s="10" t="inlineStr">
        <is>
          <t>Sim</t>
        </is>
      </c>
      <c r="D84" s="11" t="inlineStr">
        <is>
          <t>911 GT3</t>
        </is>
      </c>
      <c r="E84" s="9" t="inlineStr">
        <is>
          <t>911</t>
        </is>
      </c>
      <c r="F84" s="9" t="inlineStr">
        <is>
          <t>Combustão</t>
        </is>
      </c>
      <c r="G84" s="9" t="n">
        <v>2024</v>
      </c>
      <c r="H84" s="12" t="n">
        <v>224000</v>
      </c>
      <c r="I84" s="13" t="n">
        <v>3000</v>
      </c>
      <c r="J84" s="11" t="inlineStr">
        <is>
          <t>Transferência (wire)</t>
        </is>
      </c>
      <c r="K84" s="11" t="inlineStr">
        <is>
          <t>Boise</t>
        </is>
      </c>
      <c r="L84" s="9" t="inlineStr">
        <is>
          <t>ID</t>
        </is>
      </c>
      <c r="M84" s="9" t="inlineStr">
        <is>
          <t>Oeste</t>
        </is>
      </c>
      <c r="N84" s="11" t="inlineStr">
        <is>
          <t>Aguardando entrega</t>
        </is>
      </c>
      <c r="O84" s="9" t="inlineStr">
        <is>
          <t>Aguardando</t>
        </is>
      </c>
    </row>
    <row r="85">
      <c r="A85" s="4" t="n">
        <v>86</v>
      </c>
      <c r="B85" s="4" t="inlineStr">
        <is>
          <t>2027-01-15</t>
        </is>
      </c>
      <c r="C85" s="14" t="inlineStr">
        <is>
          <t>Sim</t>
        </is>
      </c>
      <c r="D85" s="6" t="inlineStr">
        <is>
          <t>911 Carrera</t>
        </is>
      </c>
      <c r="E85" s="4" t="inlineStr">
        <is>
          <t>911</t>
        </is>
      </c>
      <c r="F85" s="4" t="inlineStr">
        <is>
          <t>Combustão</t>
        </is>
      </c>
      <c r="G85" s="4" t="n">
        <v>2024</v>
      </c>
      <c r="H85" s="7" t="n">
        <v>126900</v>
      </c>
      <c r="I85" s="8" t="n">
        <v>7200</v>
      </c>
      <c r="J85" s="6" t="inlineStr">
        <is>
          <t>Cartão de crédito</t>
        </is>
      </c>
      <c r="K85" s="6" t="inlineStr">
        <is>
          <t>Orlando</t>
        </is>
      </c>
      <c r="L85" s="4" t="inlineStr">
        <is>
          <t>FL</t>
        </is>
      </c>
      <c r="M85" s="4" t="inlineStr">
        <is>
          <t>Sul</t>
        </is>
      </c>
      <c r="N85" s="6" t="inlineStr">
        <is>
          <t>Entregue</t>
        </is>
      </c>
      <c r="O85" s="4" t="inlineStr">
        <is>
          <t>Entregue</t>
        </is>
      </c>
    </row>
    <row r="86">
      <c r="A86" s="9" t="n">
        <v>87</v>
      </c>
      <c r="B86" s="9" t="inlineStr">
        <is>
          <t>2027-01-29</t>
        </is>
      </c>
      <c r="C86" s="10" t="inlineStr">
        <is>
          <t>Sim</t>
        </is>
      </c>
      <c r="D86" s="11" t="inlineStr">
        <is>
          <t>Cayenne</t>
        </is>
      </c>
      <c r="E86" s="9" t="inlineStr">
        <is>
          <t>Cayenne</t>
        </is>
      </c>
      <c r="F86" s="9" t="inlineStr">
        <is>
          <t>Combustão</t>
        </is>
      </c>
      <c r="G86" s="9" t="n">
        <v>2023</v>
      </c>
      <c r="H86" s="12" t="n">
        <v>84500</v>
      </c>
      <c r="I86" s="13" t="n">
        <v>21400</v>
      </c>
      <c r="J86" s="11" t="inlineStr">
        <is>
          <t>Transferência bancária</t>
        </is>
      </c>
      <c r="K86" s="11" t="inlineStr">
        <is>
          <t>San Jose</t>
        </is>
      </c>
      <c r="L86" s="9" t="inlineStr">
        <is>
          <t>CA</t>
        </is>
      </c>
      <c r="M86" s="9" t="inlineStr">
        <is>
          <t>Oeste</t>
        </is>
      </c>
      <c r="N86" s="11" t="inlineStr">
        <is>
          <t>Pendente</t>
        </is>
      </c>
      <c r="O86" s="9" t="inlineStr">
        <is>
          <t>Pendente</t>
        </is>
      </c>
    </row>
    <row r="87">
      <c r="A87" s="4" t="n">
        <v>88</v>
      </c>
      <c r="B87" s="4" t="inlineStr">
        <is>
          <t>2027-02-11</t>
        </is>
      </c>
      <c r="C87" s="14" t="inlineStr">
        <is>
          <t>Sim</t>
        </is>
      </c>
      <c r="D87" s="6" t="inlineStr">
        <is>
          <t>Macan S</t>
        </is>
      </c>
      <c r="E87" s="4" t="inlineStr">
        <is>
          <t>Macan</t>
        </is>
      </c>
      <c r="F87" s="4" t="inlineStr">
        <is>
          <t>Combustão</t>
        </is>
      </c>
      <c r="G87" s="4" t="n">
        <v>2022</v>
      </c>
      <c r="H87" s="7" t="n">
        <v>69800</v>
      </c>
      <c r="I87" s="8" t="n">
        <v>26300</v>
      </c>
      <c r="J87" s="6" t="inlineStr">
        <is>
          <t>Financiamento</t>
        </is>
      </c>
      <c r="K87" s="6" t="inlineStr">
        <is>
          <t>Tampa</t>
        </is>
      </c>
      <c r="L87" s="4" t="inlineStr">
        <is>
          <t>FL</t>
        </is>
      </c>
      <c r="M87" s="4" t="inlineStr">
        <is>
          <t>Sul</t>
        </is>
      </c>
      <c r="N87" s="6" t="inlineStr">
        <is>
          <t>Entregue</t>
        </is>
      </c>
      <c r="O87" s="4" t="inlineStr">
        <is>
          <t>Entregue</t>
        </is>
      </c>
    </row>
    <row r="88">
      <c r="A88" s="9" t="n">
        <v>89</v>
      </c>
      <c r="B88" s="9" t="n"/>
      <c r="C88" s="15" t="inlineStr">
        <is>
          <t>Não</t>
        </is>
      </c>
      <c r="D88" s="11" t="inlineStr">
        <is>
          <t>Taycan 4S</t>
        </is>
      </c>
      <c r="E88" s="9" t="inlineStr">
        <is>
          <t>Taycan</t>
        </is>
      </c>
      <c r="F88" s="9" t="inlineStr">
        <is>
          <t>Elétrico</t>
        </is>
      </c>
      <c r="G88" s="9" t="n">
        <v>2025</v>
      </c>
      <c r="H88" s="12" t="n">
        <v>132700</v>
      </c>
      <c r="I88" s="13" t="n">
        <v>0</v>
      </c>
      <c r="J88" s="11" t="inlineStr">
        <is>
          <t>Transferência (wire)</t>
        </is>
      </c>
      <c r="K88" s="11" t="inlineStr">
        <is>
          <t>Denver</t>
        </is>
      </c>
      <c r="L88" s="9" t="inlineStr">
        <is>
          <t>CO</t>
        </is>
      </c>
      <c r="M88" s="9" t="inlineStr">
        <is>
          <t>Oeste</t>
        </is>
      </c>
      <c r="N88" s="11" t="inlineStr">
        <is>
          <t>Em trânsito</t>
        </is>
      </c>
      <c r="O88" s="9" t="inlineStr">
        <is>
          <t>Em trânsito</t>
        </is>
      </c>
    </row>
    <row r="89">
      <c r="A89" s="4" t="n">
        <v>90</v>
      </c>
      <c r="B89" s="4" t="inlineStr">
        <is>
          <t>2027-03-05</t>
        </is>
      </c>
      <c r="C89" s="14" t="inlineStr">
        <is>
          <t>Sim</t>
        </is>
      </c>
      <c r="D89" s="6" t="inlineStr">
        <is>
          <t>Panamera</t>
        </is>
      </c>
      <c r="E89" s="4" t="inlineStr">
        <is>
          <t>Panamera</t>
        </is>
      </c>
      <c r="F89" s="4" t="inlineStr">
        <is>
          <t>Combustão</t>
        </is>
      </c>
      <c r="G89" s="4" t="n">
        <v>2021</v>
      </c>
      <c r="H89" s="7" t="n">
        <v>81000</v>
      </c>
      <c r="I89" s="8" t="n">
        <v>42</v>
      </c>
      <c r="J89" s="6" t="inlineStr">
        <is>
          <t>Dinheiro</t>
        </is>
      </c>
      <c r="K89" s="6" t="inlineStr">
        <is>
          <t>Austin</t>
        </is>
      </c>
      <c r="L89" s="4" t="inlineStr">
        <is>
          <t>TX</t>
        </is>
      </c>
      <c r="M89" s="4" t="inlineStr">
        <is>
          <t>Sul</t>
        </is>
      </c>
      <c r="N89" s="6" t="inlineStr">
        <is>
          <t>Entregue</t>
        </is>
      </c>
      <c r="O89" s="4" t="inlineStr">
        <is>
          <t>Entregue</t>
        </is>
      </c>
    </row>
    <row r="90">
      <c r="A90" s="9" t="n">
        <v>91</v>
      </c>
      <c r="B90" s="9" t="inlineStr">
        <is>
          <t>2027-03-18</t>
        </is>
      </c>
      <c r="C90" s="10" t="inlineStr">
        <is>
          <t>Sim</t>
        </is>
      </c>
      <c r="D90" s="11" t="inlineStr">
        <is>
          <t>718 Cayman</t>
        </is>
      </c>
      <c r="E90" s="9" t="inlineStr">
        <is>
          <t>718</t>
        </is>
      </c>
      <c r="F90" s="9" t="inlineStr">
        <is>
          <t>Combustão</t>
        </is>
      </c>
      <c r="G90" s="9" t="n">
        <v>2023</v>
      </c>
      <c r="H90" s="12" t="n">
        <v>78900</v>
      </c>
      <c r="I90" s="13" t="n">
        <v>17500</v>
      </c>
      <c r="J90" s="11" t="inlineStr">
        <is>
          <t>Cartão de débito</t>
        </is>
      </c>
      <c r="K90" s="11" t="inlineStr">
        <is>
          <t>Seattle</t>
        </is>
      </c>
      <c r="L90" s="9" t="inlineStr">
        <is>
          <t>WA</t>
        </is>
      </c>
      <c r="M90" s="9" t="inlineStr">
        <is>
          <t>Oeste</t>
        </is>
      </c>
      <c r="N90" s="11" t="inlineStr">
        <is>
          <t>Cancelado</t>
        </is>
      </c>
      <c r="O90" s="9" t="inlineStr">
        <is>
          <t>Cancelado</t>
        </is>
      </c>
    </row>
    <row r="91">
      <c r="A91" s="4" t="n">
        <v>92</v>
      </c>
      <c r="B91" s="4" t="inlineStr">
        <is>
          <t>2027-04-02</t>
        </is>
      </c>
      <c r="C91" s="14" t="inlineStr">
        <is>
          <t>Sim</t>
        </is>
      </c>
      <c r="D91" s="6" t="inlineStr">
        <is>
          <t>911 Turbo S</t>
        </is>
      </c>
      <c r="E91" s="4" t="inlineStr">
        <is>
          <t>911</t>
        </is>
      </c>
      <c r="F91" s="4" t="inlineStr">
        <is>
          <t>Combustão</t>
        </is>
      </c>
      <c r="G91" s="4" t="n">
        <v>2026</v>
      </c>
      <c r="H91" s="7" t="n">
        <v>249300</v>
      </c>
      <c r="I91" s="8" t="n">
        <v>900</v>
      </c>
      <c r="J91" s="6" t="inlineStr">
        <is>
          <t>Transferência (wire)</t>
        </is>
      </c>
      <c r="K91" s="6" t="inlineStr">
        <is>
          <t>Boston</t>
        </is>
      </c>
      <c r="L91" s="4" t="inlineStr">
        <is>
          <t>MA</t>
        </is>
      </c>
      <c r="M91" s="4" t="inlineStr">
        <is>
          <t>Nordeste</t>
        </is>
      </c>
      <c r="N91" s="6" t="inlineStr">
        <is>
          <t>Aguardando entrega</t>
        </is>
      </c>
      <c r="O91" s="4" t="inlineStr">
        <is>
          <t>Aguardando</t>
        </is>
      </c>
    </row>
    <row r="92">
      <c r="A92" s="9" t="n">
        <v>93</v>
      </c>
      <c r="B92" s="9" t="n"/>
      <c r="C92" s="15" t="inlineStr">
        <is>
          <t>Não</t>
        </is>
      </c>
      <c r="D92" s="11" t="inlineStr">
        <is>
          <t>Cayenne Coupe</t>
        </is>
      </c>
      <c r="E92" s="9" t="inlineStr">
        <is>
          <t>Cayenne</t>
        </is>
      </c>
      <c r="F92" s="9" t="inlineStr">
        <is>
          <t>Combustão</t>
        </is>
      </c>
      <c r="G92" s="9" t="n">
        <v>2024</v>
      </c>
      <c r="H92" s="12" t="n">
        <v>108750</v>
      </c>
      <c r="I92" s="13" t="n">
        <v>5530</v>
      </c>
      <c r="J92" s="11" t="inlineStr">
        <is>
          <t>Transferência (wire)</t>
        </is>
      </c>
      <c r="K92" s="11" t="inlineStr">
        <is>
          <t>Phoenix</t>
        </is>
      </c>
      <c r="L92" s="9" t="inlineStr">
        <is>
          <t>AZ</t>
        </is>
      </c>
      <c r="M92" s="9" t="inlineStr">
        <is>
          <t>Oeste</t>
        </is>
      </c>
      <c r="N92" s="11" t="inlineStr">
        <is>
          <t>Aguardando aprovação</t>
        </is>
      </c>
      <c r="O92" s="9" t="inlineStr">
        <is>
          <t>Pendente</t>
        </is>
      </c>
    </row>
    <row r="93">
      <c r="A93" s="4" t="n">
        <v>94</v>
      </c>
      <c r="B93" s="4" t="n"/>
      <c r="C93" s="5" t="inlineStr">
        <is>
          <t>Não</t>
        </is>
      </c>
      <c r="D93" s="6" t="inlineStr">
        <is>
          <t>Macan Electric</t>
        </is>
      </c>
      <c r="E93" s="4" t="inlineStr">
        <is>
          <t>Macan</t>
        </is>
      </c>
      <c r="F93" s="4" t="inlineStr">
        <is>
          <t>Elétrico</t>
        </is>
      </c>
      <c r="G93" s="4" t="n">
        <v>2026</v>
      </c>
      <c r="H93" s="7" t="n">
        <v>92600</v>
      </c>
      <c r="I93" s="8" t="n">
        <v>0</v>
      </c>
      <c r="J93" s="6" t="inlineStr">
        <is>
          <t>Financiamento</t>
        </is>
      </c>
      <c r="K93" s="6" t="inlineStr">
        <is>
          <t>Chicago</t>
        </is>
      </c>
      <c r="L93" s="4" t="inlineStr">
        <is>
          <t>IL</t>
        </is>
      </c>
      <c r="M93" s="4" t="inlineStr">
        <is>
          <t>Centro-Oeste</t>
        </is>
      </c>
      <c r="N93" s="6" t="inlineStr">
        <is>
          <t>Enviado</t>
        </is>
      </c>
      <c r="O93" s="4" t="inlineStr">
        <is>
          <t>Em trânsito</t>
        </is>
      </c>
    </row>
    <row r="94">
      <c r="A94" s="9" t="n">
        <v>95</v>
      </c>
      <c r="B94" s="9" t="inlineStr">
        <is>
          <t>2027-05-12</t>
        </is>
      </c>
      <c r="C94" s="10" t="inlineStr">
        <is>
          <t>Sim</t>
        </is>
      </c>
      <c r="D94" s="11" t="inlineStr">
        <is>
          <t>Taycan Turbo</t>
        </is>
      </c>
      <c r="E94" s="9" t="inlineStr">
        <is>
          <t>Taycan</t>
        </is>
      </c>
      <c r="F94" s="9" t="inlineStr">
        <is>
          <t>Elétrico</t>
        </is>
      </c>
      <c r="G94" s="9" t="n">
        <v>2025</v>
      </c>
      <c r="H94" s="12" t="n">
        <v>164000</v>
      </c>
      <c r="I94" s="13" t="n">
        <v>0</v>
      </c>
      <c r="J94" s="11" t="inlineStr">
        <is>
          <t>ACH</t>
        </is>
      </c>
      <c r="K94" s="11" t="inlineStr">
        <is>
          <t>Dallas</t>
        </is>
      </c>
      <c r="L94" s="9" t="inlineStr">
        <is>
          <t>TX</t>
        </is>
      </c>
      <c r="M94" s="9" t="inlineStr">
        <is>
          <t>Sul</t>
        </is>
      </c>
      <c r="N94" s="11" t="inlineStr">
        <is>
          <t>Em trânsito</t>
        </is>
      </c>
      <c r="O94" s="9" t="inlineStr">
        <is>
          <t>Em trânsito</t>
        </is>
      </c>
    </row>
    <row r="95">
      <c r="A95" s="4" t="n">
        <v>96</v>
      </c>
      <c r="B95" s="4" t="inlineStr">
        <is>
          <t>2027-05-27</t>
        </is>
      </c>
      <c r="C95" s="14" t="inlineStr">
        <is>
          <t>Sim</t>
        </is>
      </c>
      <c r="D95" s="6" t="inlineStr">
        <is>
          <t>Panamera 4S</t>
        </is>
      </c>
      <c r="E95" s="4" t="inlineStr">
        <is>
          <t>Panamera</t>
        </is>
      </c>
      <c r="F95" s="4" t="inlineStr">
        <is>
          <t>Combustão</t>
        </is>
      </c>
      <c r="G95" s="4" t="n">
        <v>2024</v>
      </c>
      <c r="H95" s="7" t="n">
        <v>119000</v>
      </c>
      <c r="I95" s="8" t="n">
        <v>13400</v>
      </c>
      <c r="J95" s="6" t="inlineStr">
        <is>
          <t>Cartão de crédito</t>
        </is>
      </c>
      <c r="K95" s="6" t="inlineStr">
        <is>
          <t>San Francisco</t>
        </is>
      </c>
      <c r="L95" s="4" t="inlineStr">
        <is>
          <t>CA</t>
        </is>
      </c>
      <c r="M95" s="4" t="inlineStr">
        <is>
          <t>Oeste</t>
        </is>
      </c>
      <c r="N95" s="6" t="inlineStr">
        <is>
          <t>Entregue</t>
        </is>
      </c>
      <c r="O95" s="4" t="inlineStr">
        <is>
          <t>Entregue</t>
        </is>
      </c>
    </row>
    <row r="96">
      <c r="A96" s="9" t="n">
        <v>97</v>
      </c>
      <c r="B96" s="9" t="n"/>
      <c r="C96" s="15" t="inlineStr">
        <is>
          <t>Não</t>
        </is>
      </c>
      <c r="D96" s="11" t="inlineStr">
        <is>
          <t>911 GT3</t>
        </is>
      </c>
      <c r="E96" s="9" t="inlineStr">
        <is>
          <t>911</t>
        </is>
      </c>
      <c r="F96" s="9" t="inlineStr">
        <is>
          <t>Combustão</t>
        </is>
      </c>
      <c r="G96" s="9" t="n">
        <v>2026</v>
      </c>
      <c r="H96" s="12" t="n">
        <v>232500</v>
      </c>
      <c r="I96" s="13" t="n">
        <v>1700</v>
      </c>
      <c r="J96" s="11" t="inlineStr">
        <is>
          <t>Transferência (wire)</t>
        </is>
      </c>
      <c r="K96" s="11" t="inlineStr">
        <is>
          <t>Las Vegas</t>
        </is>
      </c>
      <c r="L96" s="9" t="inlineStr">
        <is>
          <t>NV</t>
        </is>
      </c>
      <c r="M96" s="9" t="inlineStr">
        <is>
          <t>Oeste</t>
        </is>
      </c>
      <c r="N96" s="11" t="inlineStr">
        <is>
          <t>Pendente</t>
        </is>
      </c>
      <c r="O96" s="9" t="inlineStr">
        <is>
          <t>Pendente</t>
        </is>
      </c>
    </row>
    <row r="97">
      <c r="A97" s="4" t="n">
        <v>98</v>
      </c>
      <c r="B97" s="4" t="inlineStr">
        <is>
          <t>2027-06-18</t>
        </is>
      </c>
      <c r="C97" s="14" t="inlineStr">
        <is>
          <t>Sim</t>
        </is>
      </c>
      <c r="D97" s="6" t="inlineStr">
        <is>
          <t>Cayenne E-Hybrid</t>
        </is>
      </c>
      <c r="E97" s="4" t="inlineStr">
        <is>
          <t>Cayenne</t>
        </is>
      </c>
      <c r="F97" s="4" t="inlineStr">
        <is>
          <t>Híbrido</t>
        </is>
      </c>
      <c r="G97" s="4" t="n">
        <v>2023</v>
      </c>
      <c r="H97" s="7" t="n">
        <v>96800</v>
      </c>
      <c r="I97" s="8" t="n">
        <v>14000</v>
      </c>
      <c r="J97" s="6" t="inlineStr">
        <is>
          <t>Locação (leasing)</t>
        </is>
      </c>
      <c r="K97" s="6" t="inlineStr">
        <is>
          <t>Charlotte</t>
        </is>
      </c>
      <c r="L97" s="4" t="inlineStr">
        <is>
          <t>NC</t>
        </is>
      </c>
      <c r="M97" s="4" t="inlineStr">
        <is>
          <t>Sul</t>
        </is>
      </c>
      <c r="N97" s="6" t="inlineStr">
        <is>
          <t>Entregue</t>
        </is>
      </c>
      <c r="O97" s="4" t="inlineStr">
        <is>
          <t>Entregue</t>
        </is>
      </c>
    </row>
    <row r="98">
      <c r="A98" s="9" t="n">
        <v>99</v>
      </c>
      <c r="B98" s="9" t="inlineStr">
        <is>
          <t>2027-07-03</t>
        </is>
      </c>
      <c r="C98" s="10" t="inlineStr">
        <is>
          <t>Sim</t>
        </is>
      </c>
      <c r="D98" s="11" t="inlineStr">
        <is>
          <t>Macan T</t>
        </is>
      </c>
      <c r="E98" s="9" t="inlineStr">
        <is>
          <t>Macan</t>
        </is>
      </c>
      <c r="F98" s="9" t="inlineStr">
        <is>
          <t>Combustão</t>
        </is>
      </c>
      <c r="G98" s="9" t="n">
        <v>2022</v>
      </c>
      <c r="H98" s="12" t="n">
        <v>74400</v>
      </c>
      <c r="I98" s="13" t="n">
        <v>20750</v>
      </c>
      <c r="J98" s="11" t="inlineStr">
        <is>
          <t>Dinheiro</t>
        </is>
      </c>
      <c r="K98" s="11" t="inlineStr">
        <is>
          <t>Mesa</t>
        </is>
      </c>
      <c r="L98" s="9" t="inlineStr">
        <is>
          <t>AZ</t>
        </is>
      </c>
      <c r="M98" s="9" t="inlineStr">
        <is>
          <t>Oeste</t>
        </is>
      </c>
      <c r="N98" s="11" t="inlineStr">
        <is>
          <t>Aguardando retirada</t>
        </is>
      </c>
      <c r="O98" s="9" t="inlineStr">
        <is>
          <t>Aguardando</t>
        </is>
      </c>
    </row>
    <row r="99">
      <c r="A99" s="4" t="n">
        <v>100</v>
      </c>
      <c r="B99" s="4" t="inlineStr">
        <is>
          <t>2027-07-22</t>
        </is>
      </c>
      <c r="C99" s="14" t="inlineStr">
        <is>
          <t>Sim</t>
        </is>
      </c>
      <c r="D99" s="6" t="inlineStr">
        <is>
          <t>Taycan GTS</t>
        </is>
      </c>
      <c r="E99" s="4" t="inlineStr">
        <is>
          <t>Taycan</t>
        </is>
      </c>
      <c r="F99" s="4" t="inlineStr">
        <is>
          <t>Elétrico</t>
        </is>
      </c>
      <c r="G99" s="4" t="n">
        <v>2025</v>
      </c>
      <c r="H99" s="7" t="n">
        <v>148500</v>
      </c>
      <c r="I99" s="8" t="n">
        <v>5200</v>
      </c>
      <c r="J99" s="6" t="inlineStr">
        <is>
          <t>Cripto</t>
        </is>
      </c>
      <c r="K99" s="6" t="inlineStr">
        <is>
          <t>Atlanta</t>
        </is>
      </c>
      <c r="L99" s="4" t="inlineStr">
        <is>
          <t>GA</t>
        </is>
      </c>
      <c r="M99" s="4" t="inlineStr">
        <is>
          <t>Sul</t>
        </is>
      </c>
      <c r="N99" s="6" t="inlineStr">
        <is>
          <t>Entregue</t>
        </is>
      </c>
      <c r="O99" s="4" t="inlineStr">
        <is>
          <t>Entregue</t>
        </is>
      </c>
    </row>
    <row r="100">
      <c r="A100" s="9" t="n">
        <v>101</v>
      </c>
      <c r="B100" s="9" t="inlineStr">
        <is>
          <t>2027-08-08</t>
        </is>
      </c>
      <c r="C100" s="10" t="inlineStr">
        <is>
          <t>Sim</t>
        </is>
      </c>
      <c r="D100" s="11" t="inlineStr">
        <is>
          <t>718 Boxster</t>
        </is>
      </c>
      <c r="E100" s="9" t="inlineStr">
        <is>
          <t>718</t>
        </is>
      </c>
      <c r="F100" s="9" t="inlineStr">
        <is>
          <t>Combustão</t>
        </is>
      </c>
      <c r="G100" s="9" t="n">
        <v>2021</v>
      </c>
      <c r="H100" s="12" t="n">
        <v>71900</v>
      </c>
      <c r="I100" s="13" t="n">
        <v>29600</v>
      </c>
      <c r="J100" s="11" t="inlineStr">
        <is>
          <t>Transferência bancária</t>
        </is>
      </c>
      <c r="K100" s="11" t="inlineStr">
        <is>
          <t>Long Beach</t>
        </is>
      </c>
      <c r="L100" s="9" t="inlineStr">
        <is>
          <t>CA</t>
        </is>
      </c>
      <c r="M100" s="9" t="inlineStr">
        <is>
          <t>Oeste</t>
        </is>
      </c>
      <c r="N100" s="11" t="inlineStr">
        <is>
          <t>Pendente</t>
        </is>
      </c>
      <c r="O100" s="9" t="inlineStr">
        <is>
          <t>Pendente</t>
        </is>
      </c>
    </row>
    <row r="101">
      <c r="A101" s="4" t="n">
        <v>102</v>
      </c>
      <c r="B101" s="4" t="n"/>
      <c r="C101" s="5" t="inlineStr">
        <is>
          <t>Não</t>
        </is>
      </c>
      <c r="D101" s="6" t="inlineStr">
        <is>
          <t>911 Targa 4</t>
        </is>
      </c>
      <c r="E101" s="4" t="inlineStr">
        <is>
          <t>911</t>
        </is>
      </c>
      <c r="F101" s="4" t="inlineStr">
        <is>
          <t>Combustão</t>
        </is>
      </c>
      <c r="G101" s="4" t="n">
        <v>2024</v>
      </c>
      <c r="H101" s="7" t="n">
        <v>143250</v>
      </c>
      <c r="I101" s="8" t="n">
        <v>3100</v>
      </c>
      <c r="J101" s="6" t="inlineStr">
        <is>
          <t>Financiamento</t>
        </is>
      </c>
      <c r="K101" s="6" t="inlineStr">
        <is>
          <t>Oakland</t>
        </is>
      </c>
      <c r="L101" s="4" t="inlineStr">
        <is>
          <t>CA</t>
        </is>
      </c>
      <c r="M101" s="4" t="inlineStr">
        <is>
          <t>Oeste</t>
        </is>
      </c>
      <c r="N101" s="6" t="inlineStr">
        <is>
          <t>Em trânsito</t>
        </is>
      </c>
      <c r="O101" s="4" t="inlineStr">
        <is>
          <t>Em trânsito</t>
        </is>
      </c>
    </row>
    <row r="102">
      <c r="A102" s="9" t="n">
        <v>103</v>
      </c>
      <c r="B102" s="9" t="inlineStr">
        <is>
          <t>2027-09-19</t>
        </is>
      </c>
      <c r="C102" s="10" t="inlineStr">
        <is>
          <t>Sim</t>
        </is>
      </c>
      <c r="D102" s="11" t="inlineStr">
        <is>
          <t>Panamera Turbo</t>
        </is>
      </c>
      <c r="E102" s="9" t="inlineStr">
        <is>
          <t>Panamera</t>
        </is>
      </c>
      <c r="F102" s="9" t="inlineStr">
        <is>
          <t>Combustão</t>
        </is>
      </c>
      <c r="G102" s="9" t="n">
        <v>2020</v>
      </c>
      <c r="H102" s="12" t="n">
        <v>137500</v>
      </c>
      <c r="I102" s="13" t="n">
        <v>48000</v>
      </c>
      <c r="J102" s="11" t="inlineStr">
        <is>
          <t>Transferência (wire)</t>
        </is>
      </c>
      <c r="K102" s="11" t="inlineStr">
        <is>
          <t>Tulsa</t>
        </is>
      </c>
      <c r="L102" s="9" t="inlineStr">
        <is>
          <t>OK</t>
        </is>
      </c>
      <c r="M102" s="9" t="inlineStr">
        <is>
          <t>Sul</t>
        </is>
      </c>
      <c r="N102" s="11" t="inlineStr">
        <is>
          <t>Entregue</t>
        </is>
      </c>
      <c r="O102" s="9" t="inlineStr">
        <is>
          <t>Entregue</t>
        </is>
      </c>
    </row>
    <row r="103">
      <c r="A103" s="4" t="n">
        <v>104</v>
      </c>
      <c r="B103" s="4" t="inlineStr">
        <is>
          <t>2027-09-25</t>
        </is>
      </c>
      <c r="C103" s="14" t="inlineStr">
        <is>
          <t>Sim</t>
        </is>
      </c>
      <c r="D103" s="6" t="inlineStr">
        <is>
          <t>Cayenne Turbo GT</t>
        </is>
      </c>
      <c r="E103" s="4" t="inlineStr">
        <is>
          <t>Cayenne</t>
        </is>
      </c>
      <c r="F103" s="4" t="inlineStr">
        <is>
          <t>Combustão</t>
        </is>
      </c>
      <c r="G103" s="4" t="n">
        <v>2025</v>
      </c>
      <c r="H103" s="7" t="n">
        <v>204800</v>
      </c>
      <c r="I103" s="8" t="n">
        <v>3300</v>
      </c>
      <c r="J103" s="6" t="inlineStr">
        <is>
          <t>Cartão de crédito</t>
        </is>
      </c>
      <c r="K103" s="6" t="inlineStr">
        <is>
          <t>Wichita</t>
        </is>
      </c>
      <c r="L103" s="4" t="inlineStr">
        <is>
          <t>KS</t>
        </is>
      </c>
      <c r="M103" s="4" t="inlineStr">
        <is>
          <t>Centro-Oeste</t>
        </is>
      </c>
      <c r="N103" s="6" t="inlineStr">
        <is>
          <t>Pendente</t>
        </is>
      </c>
      <c r="O103" s="4" t="inlineStr">
        <is>
          <t>Pendente</t>
        </is>
      </c>
    </row>
    <row r="104">
      <c r="A104" s="9" t="n">
        <v>105</v>
      </c>
      <c r="B104" s="9" t="inlineStr">
        <is>
          <t>2027-10-01</t>
        </is>
      </c>
      <c r="C104" s="10" t="inlineStr">
        <is>
          <t>Sim</t>
        </is>
      </c>
      <c r="D104" s="11" t="inlineStr">
        <is>
          <t>911 Dakar</t>
        </is>
      </c>
      <c r="E104" s="9" t="inlineStr">
        <is>
          <t>911</t>
        </is>
      </c>
      <c r="F104" s="9" t="inlineStr">
        <is>
          <t>Combustão</t>
        </is>
      </c>
      <c r="G104" s="9" t="n">
        <v>2024</v>
      </c>
      <c r="H104" s="12" t="n">
        <v>271700</v>
      </c>
      <c r="I104" s="13" t="n">
        <v>1050</v>
      </c>
      <c r="J104" s="11" t="inlineStr">
        <is>
          <t>Locação (leasing)</t>
        </is>
      </c>
      <c r="K104" s="11" t="inlineStr">
        <is>
          <t>New Orleans</t>
        </is>
      </c>
      <c r="L104" s="9" t="inlineStr">
        <is>
          <t>LA</t>
        </is>
      </c>
      <c r="M104" s="9" t="inlineStr">
        <is>
          <t>Sul</t>
        </is>
      </c>
      <c r="N104" s="11" t="inlineStr">
        <is>
          <t>Entregue</t>
        </is>
      </c>
      <c r="O104" s="9" t="inlineStr">
        <is>
          <t>Entregue</t>
        </is>
      </c>
    </row>
    <row r="105">
      <c r="A105" s="16" t="inlineStr">
        <is>
          <t>TOTAIS  →</t>
        </is>
      </c>
      <c r="H105" s="17">
        <f>SUM(H5:H104)</f>
        <v/>
      </c>
      <c r="I105" s="18">
        <f>AVERAGE(I5:I104)</f>
        <v/>
      </c>
      <c r="J105" s="19">
        <f>COUNTA(A5:A104)&amp;" vendas · ticket médio US$ "&amp;ROUND(H105/COUNTA(A5:A104),2)</f>
        <v/>
      </c>
    </row>
  </sheetData>
  <autoFilter ref="A4:O104"/>
  <mergeCells count="4">
    <mergeCell ref="A1:O1"/>
    <mergeCell ref="A105:G105"/>
    <mergeCell ref="A2:O2"/>
    <mergeCell ref="J105:O105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8" customWidth="1" min="3" max="3"/>
  </cols>
  <sheetData>
    <row r="1" ht="28" customHeight="1">
      <c r="A1" s="1" t="inlineStr">
        <is>
          <t>DICIONÁRIO DE DADOS</t>
        </is>
      </c>
    </row>
    <row r="3">
      <c r="A3" s="20" t="inlineStr">
        <is>
          <t>Coluna</t>
        </is>
      </c>
      <c r="B3" s="20" t="inlineStr">
        <is>
          <t>Tipo</t>
        </is>
      </c>
      <c r="C3" s="20" t="inlineStr">
        <is>
          <t>Descrição</t>
        </is>
      </c>
    </row>
    <row r="4" ht="18" customHeight="1">
      <c r="A4" s="21" t="inlineStr">
        <is>
          <t>id_venda</t>
        </is>
      </c>
      <c r="B4" s="22" t="inlineStr">
        <is>
          <t>Número</t>
        </is>
      </c>
      <c r="C4" s="23" t="inlineStr">
        <is>
          <t>Identificador da venda (6 a 105).</t>
        </is>
      </c>
    </row>
    <row r="5" ht="18" customHeight="1">
      <c r="A5" s="21" t="inlineStr">
        <is>
          <t>data_venda</t>
        </is>
      </c>
      <c r="B5" s="22" t="inlineStr">
        <is>
          <t>Data</t>
        </is>
      </c>
      <c r="C5" s="23" t="inlineStr">
        <is>
          <t>Data da venda; vazio quando a data original era impossível (ex.: 30/02).</t>
        </is>
      </c>
    </row>
    <row r="6" ht="18" customHeight="1">
      <c r="A6" s="21" t="inlineStr">
        <is>
          <t>data_valida</t>
        </is>
      </c>
      <c r="B6" s="22" t="inlineStr">
        <is>
          <t>Sim/Não</t>
        </is>
      </c>
      <c r="C6" s="23" t="inlineStr">
        <is>
          <t>Indica se a data pôde ser recuperada da coluna sanitizada.</t>
        </is>
      </c>
    </row>
    <row r="7" ht="18" customHeight="1">
      <c r="A7" s="21" t="inlineStr">
        <is>
          <t>modelo</t>
        </is>
      </c>
      <c r="B7" s="22" t="inlineStr">
        <is>
          <t>Texto</t>
        </is>
      </c>
      <c r="C7" s="23" t="inlineStr">
        <is>
          <t>Modelo completo (ex.: 911 Turbo S, Taycan 4S, Cayenne Coupe).</t>
        </is>
      </c>
    </row>
    <row r="8" ht="18" customHeight="1">
      <c r="A8" s="21" t="inlineStr">
        <is>
          <t>familia</t>
        </is>
      </c>
      <c r="B8" s="22" t="inlineStr">
        <is>
          <t>Texto</t>
        </is>
      </c>
      <c r="C8" s="23" t="inlineStr">
        <is>
          <t>Primeira palavra do modelo: 718, 911, Cayenne, Macan, Panamera ou Taycan.</t>
        </is>
      </c>
    </row>
    <row r="9" ht="18" customHeight="1">
      <c r="A9" s="21" t="inlineStr">
        <is>
          <t>combustivel</t>
        </is>
      </c>
      <c r="B9" s="22" t="inlineStr">
        <is>
          <t>Texto</t>
        </is>
      </c>
      <c r="C9" s="23" t="inlineStr">
        <is>
          <t>Elétrico (Taycan/Macan Electric), Híbrido (E-Hybrid) ou Combustão.</t>
        </is>
      </c>
    </row>
    <row r="10" ht="18" customHeight="1">
      <c r="A10" s="21" t="inlineStr">
        <is>
          <t>ano_modelo</t>
        </is>
      </c>
      <c r="B10" s="22" t="inlineStr">
        <is>
          <t>Número</t>
        </is>
      </c>
      <c r="C10" s="23" t="inlineStr">
        <is>
          <t>Ano-modelo do veículo (2020 a 2026), convertido de texto.</t>
        </is>
      </c>
    </row>
    <row r="11" ht="18" customHeight="1">
      <c r="A11" s="21" t="inlineStr">
        <is>
          <t>preco_usd</t>
        </is>
      </c>
      <c r="B11" s="22" t="inlineStr">
        <is>
          <t>Moeda</t>
        </is>
      </c>
      <c r="C11" s="23" t="inlineStr">
        <is>
          <t>Preço de venda em dólares (base original), convertido de texto.</t>
        </is>
      </c>
    </row>
    <row r="12" ht="18" customHeight="1">
      <c r="A12" s="21" t="inlineStr">
        <is>
          <t>quilometragem_mi</t>
        </is>
      </c>
      <c r="B12" s="22" t="inlineStr">
        <is>
          <t>Número</t>
        </is>
      </c>
      <c r="C12" s="23" t="inlineStr">
        <is>
          <t>Quilometragem em milhas, convertida de texto.</t>
        </is>
      </c>
    </row>
    <row r="13" ht="18" customHeight="1">
      <c r="A13" s="21" t="inlineStr">
        <is>
          <t>metodo_pagamento</t>
        </is>
      </c>
      <c r="B13" s="22" t="inlineStr">
        <is>
          <t>Texto</t>
        </is>
      </c>
      <c r="C13" s="23" t="inlineStr">
        <is>
          <t>Forma de pagamento padronizada e traduzida.</t>
        </is>
      </c>
    </row>
    <row r="14" ht="18" customHeight="1">
      <c r="A14" s="21" t="inlineStr">
        <is>
          <t>cidade</t>
        </is>
      </c>
      <c r="B14" s="22" t="inlineStr">
        <is>
          <t>Texto</t>
        </is>
      </c>
      <c r="C14" s="23" t="inlineStr">
        <is>
          <t>Cidade da venda (EUA).</t>
        </is>
      </c>
    </row>
    <row r="15" ht="18" customHeight="1">
      <c r="A15" s="21" t="inlineStr">
        <is>
          <t>estado</t>
        </is>
      </c>
      <c r="B15" s="22" t="inlineStr">
        <is>
          <t>Texto</t>
        </is>
      </c>
      <c r="C15" s="23" t="inlineStr">
        <is>
          <t>Sigla do estado (UF, padrão de 2 letras).</t>
        </is>
      </c>
    </row>
    <row r="16" ht="18" customHeight="1">
      <c r="A16" s="21" t="inlineStr">
        <is>
          <t>regiao</t>
        </is>
      </c>
      <c r="B16" s="22" t="inlineStr">
        <is>
          <t>Texto</t>
        </is>
      </c>
      <c r="C16" s="23" t="inlineStr">
        <is>
          <t>Região do Censo dos EUA em português (Nordeste/Centro-Oeste/Sul/Oeste).</t>
        </is>
      </c>
    </row>
    <row r="17" ht="18" customHeight="1">
      <c r="A17" s="21" t="inlineStr">
        <is>
          <t>status_entrega</t>
        </is>
      </c>
      <c r="B17" s="22" t="inlineStr">
        <is>
          <t>Texto</t>
        </is>
      </c>
      <c r="C17" s="23" t="inlineStr">
        <is>
          <t>Status detalhado da entrega, traduzido.</t>
        </is>
      </c>
    </row>
    <row r="18" ht="18" customHeight="1">
      <c r="A18" s="21" t="inlineStr">
        <is>
          <t>status_grupo</t>
        </is>
      </c>
      <c r="B18" s="22" t="inlineStr">
        <is>
          <t>Texto</t>
        </is>
      </c>
      <c r="C18" s="23" t="inlineStr">
        <is>
          <t>Grupo do status: Entregue / Em trânsito / Pendente / Aguardando / Cancelado.</t>
        </is>
      </c>
    </row>
    <row r="20">
      <c r="A20" s="24" t="inlineStr">
        <is>
          <t>Privacidade</t>
        </is>
      </c>
    </row>
    <row r="21" ht="30" customHeight="1">
      <c r="A21" s="25" t="inlineStr">
        <is>
          <t>As colunas customer_name e salesperson da planilha original foram REMOVIDAS: a base tratada vai embutida na dashboard pública. Nenhum nome de pessoa permanece.</t>
        </is>
      </c>
    </row>
  </sheetData>
  <mergeCells count="2">
    <mergeCell ref="A1:C1"/>
    <mergeCell ref="A21:C21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2" customWidth="1" min="3" max="3"/>
    <col width="34" customWidth="1" min="4" max="4"/>
  </cols>
  <sheetData>
    <row r="1" ht="28" customHeight="1">
      <c r="A1" s="1" t="inlineStr">
        <is>
          <t>REGISTRO DO TRATAMENTO (do dado bruto ao dado tratado)</t>
        </is>
      </c>
    </row>
    <row r="3">
      <c r="A3" s="20" t="inlineStr">
        <is>
          <t>#</t>
        </is>
      </c>
      <c r="B3" s="20" t="inlineStr">
        <is>
          <t>Etapa</t>
        </is>
      </c>
      <c r="C3" s="20" t="inlineStr">
        <is>
          <t>O que foi feito</t>
        </is>
      </c>
      <c r="D3" s="20" t="inlineStr">
        <is>
          <t>Resultado</t>
        </is>
      </c>
    </row>
    <row r="4" ht="34" customHeight="1">
      <c r="A4" s="22" t="n">
        <v>1</v>
      </c>
      <c r="B4" s="21" t="inlineStr">
        <is>
          <t>Origem</t>
        </is>
      </c>
      <c r="C4" s="26" t="inlineStr">
        <is>
          <t>Planilha oficial do desafio (hermes.dio.me), aba Sanitized.</t>
        </is>
      </c>
      <c r="D4" s="27" t="inlineStr">
        <is>
          <t>100 registros, 21 colunas (cruas + sanitizadas)</t>
        </is>
      </c>
    </row>
    <row r="5" ht="34" customHeight="1">
      <c r="A5" s="22" t="n">
        <v>2</v>
      </c>
      <c r="B5" s="21" t="inlineStr">
        <is>
          <t>Colunas cruas</t>
        </is>
      </c>
      <c r="C5" s="26" t="inlineStr">
        <is>
          <t>Descartadas as 10 versões cruas (sale_date, porsche_model, model_year, sale_price, vehicle_mileage, payment_method, city, state, delivery_status e sale_id foi mantido).</t>
        </is>
      </c>
      <c r="D5" s="27" t="inlineStr">
        <is>
          <t>só as colunas "Sanitized" permanecem</t>
        </is>
      </c>
    </row>
    <row r="6" ht="34" customHeight="1">
      <c r="A6" s="22" t="n">
        <v>3</v>
      </c>
      <c r="B6" s="21" t="inlineStr">
        <is>
          <t>Tipos</t>
        </is>
      </c>
      <c r="C6" s="26" t="inlineStr">
        <is>
          <t>preco_usd, ano_modelo e quilometragem_mi convertidos de texto para número; datas ISO para data.</t>
        </is>
      </c>
      <c r="D6" s="27" t="inlineStr">
        <is>
          <t>números somam e ordenam; datas comparáveis</t>
        </is>
      </c>
    </row>
    <row r="7" ht="34" customHeight="1">
      <c r="A7" s="22" t="n">
        <v>4</v>
      </c>
      <c r="B7" s="21" t="inlineStr">
        <is>
          <t>Datas</t>
        </is>
      </c>
      <c r="C7" s="26" t="inlineStr">
        <is>
          <t>24 datas sanitizadas = INVALID (datas impossíveis, ex.: 30/02). Campo data_venda fica vazio e data_valida = Não.</t>
        </is>
      </c>
      <c r="D7" s="27" t="inlineStr">
        <is>
          <t>76 datas válidas; 24 marcadas com transparência</t>
        </is>
      </c>
    </row>
    <row r="8" ht="34" customHeight="1">
      <c r="A8" s="22" t="n">
        <v>5</v>
      </c>
      <c r="B8" s="21" t="inlineStr">
        <is>
          <t>Privacidade</t>
        </is>
      </c>
      <c r="C8" s="26" t="inlineStr">
        <is>
          <t>Removidas customer_name e salesperson antes de publicar.</t>
        </is>
      </c>
      <c r="D8" s="27" t="inlineStr">
        <is>
          <t>0 nomes de pessoas na base tratada e na dashboard</t>
        </is>
      </c>
    </row>
    <row r="9" ht="34" customHeight="1">
      <c r="A9" s="22" t="n">
        <v>6</v>
      </c>
      <c r="B9" s="21" t="inlineStr">
        <is>
          <t>Derivadas</t>
        </is>
      </c>
      <c r="C9" s="26" t="inlineStr">
        <is>
          <t>familia (1ª palavra), combustivel (Elétrico/Híbrido/Combustão), regiao (Censo EUA) e status_grupo (agrupamento dos 10 status em 5).</t>
        </is>
      </c>
      <c r="D9" s="27" t="inlineStr">
        <is>
          <t>4 colunas novas para os filtros</t>
        </is>
      </c>
    </row>
    <row r="10" ht="34" customHeight="1">
      <c r="A10" s="22" t="n">
        <v>7</v>
      </c>
      <c r="B10" s="21" t="inlineStr">
        <is>
          <t>Validação</t>
        </is>
      </c>
      <c r="C10" s="26" t="inlineStr">
        <is>
          <t>100 IDs únicos; preço mínimo US$ 58.900 e máximo US$ 286.500; anos de 2020 a 2026; soma da receita confere com a dashboard.</t>
        </is>
      </c>
      <c r="D10" s="27" t="inlineStr">
        <is>
          <t>base confiável para análise</t>
        </is>
      </c>
    </row>
    <row r="12">
      <c r="A12" s="2" t="inlineStr">
        <is>
          <t>SHA-256 da planilha original: f874650657ca4e1a99fd4462b297bfc5fd9915e8e693956d9cec47eda2cb2e2d</t>
        </is>
      </c>
    </row>
  </sheetData>
  <mergeCells count="2">
    <mergeCell ref="A1:D1"/>
    <mergeCell ref="A12:D12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52" customWidth="1" min="4" max="4"/>
  </cols>
  <sheetData>
    <row r="1" ht="28" customHeight="1">
      <c r="A1" s="1" t="inlineStr">
        <is>
          <t>PERGUNTAS DE NEGÓCIO E ONDE ESTÃO AS RESPOSTAS</t>
        </is>
      </c>
    </row>
    <row r="3">
      <c r="A3" s="20" t="inlineStr">
        <is>
          <t>#</t>
        </is>
      </c>
      <c r="B3" s="20" t="inlineStr">
        <is>
          <t>Pergunta</t>
        </is>
      </c>
      <c r="C3" s="20" t="inlineStr">
        <is>
          <t>Visual na dashboard</t>
        </is>
      </c>
      <c r="D3" s="20" t="inlineStr">
        <is>
          <t>Por quê</t>
        </is>
      </c>
    </row>
    <row r="4" ht="28" customHeight="1">
      <c r="A4" s="22" t="n">
        <v>1</v>
      </c>
      <c r="B4" s="28" t="inlineStr">
        <is>
          <t>Quais modelos da Porsche geram mais receita?</t>
        </is>
      </c>
      <c r="C4" s="23" t="inlineStr">
        <is>
          <t>Barras horizontais (Top 10 modelos)</t>
        </is>
      </c>
      <c r="D4" s="26" t="inlineStr">
        <is>
          <t>Identifica os campeões de receita por unidade vendida.</t>
        </is>
      </c>
    </row>
    <row r="5" ht="28" customHeight="1">
      <c r="A5" s="22" t="n">
        <v>2</v>
      </c>
      <c r="B5" s="28" t="inlineStr">
        <is>
          <t>Como a receita se distribui por ano-modelo?</t>
        </is>
      </c>
      <c r="C5" s="23" t="inlineStr">
        <is>
          <t>Colunas por ano (2020–2026)</t>
        </is>
      </c>
      <c r="D5" s="26" t="inlineStr">
        <is>
          <t>Mostra a evolução do mix e a força dos anos recentes.</t>
        </is>
      </c>
    </row>
    <row r="6" ht="28" customHeight="1">
      <c r="A6" s="22" t="n">
        <v>3</v>
      </c>
      <c r="B6" s="28" t="inlineStr">
        <is>
          <t>Como os clientes pagam?</t>
        </is>
      </c>
      <c r="C6" s="23" t="inlineStr">
        <is>
          <t>Rosca por método de pagamento</t>
        </is>
      </c>
      <c r="D6" s="26" t="inlineStr">
        <is>
          <t>Orienta política de financiamento, leasing e meios digitais.</t>
        </is>
      </c>
    </row>
    <row r="7" ht="28" customHeight="1">
      <c r="A7" s="22" t="n">
        <v>4</v>
      </c>
      <c r="B7" s="28" t="inlineStr">
        <is>
          <t>Quais estados concentram as vendas?</t>
        </is>
      </c>
      <c r="C7" s="23" t="inlineStr">
        <is>
          <t>Barras por estado (Top 10) + UFs</t>
        </is>
      </c>
      <c r="D7" s="26" t="inlineStr">
        <is>
          <t>Aponta onde reforçar concessionárias e campanhas.</t>
        </is>
      </c>
    </row>
    <row r="8" ht="28" customHeight="1">
      <c r="A8" s="22" t="n">
        <v>5</v>
      </c>
      <c r="B8" s="28" t="inlineStr">
        <is>
          <t>Como está a situação das entregas?</t>
        </is>
      </c>
      <c r="C8" s="23" t="inlineStr">
        <is>
          <t>Barras por grupo de status</t>
        </is>
      </c>
      <c r="D8" s="26" t="inlineStr">
        <is>
          <t>Mede eficiência logística (entregues × pendências × cancelamentos).</t>
        </is>
      </c>
    </row>
  </sheetData>
  <mergeCells count="1">
    <mergeCell ref="A1:D1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RESUMO PARA CONFERÊNCIA (fórmulas sobre a aba Base Tratada)</t>
        </is>
      </c>
    </row>
    <row r="3">
      <c r="A3" s="29" t="inlineStr">
        <is>
          <t>A aba existe para conferir os números da dashboard com fórmulas do Excel.</t>
        </is>
      </c>
    </row>
    <row r="5" ht="19" customHeight="1">
      <c r="A5" s="30" t="inlineStr">
        <is>
          <t>1) POR FAMÍLIA</t>
        </is>
      </c>
    </row>
    <row r="6">
      <c r="A6" s="31" t="inlineStr">
        <is>
          <t>Família</t>
        </is>
      </c>
      <c r="B6" s="32" t="inlineStr">
        <is>
          <t>Vendas</t>
        </is>
      </c>
      <c r="C6" s="32" t="inlineStr">
        <is>
          <t>Receita (US$)</t>
        </is>
      </c>
      <c r="D6" s="32" t="inlineStr">
        <is>
          <t>Ticket médio (US$)</t>
        </is>
      </c>
    </row>
    <row r="7">
      <c r="A7" s="33" t="inlineStr">
        <is>
          <t>718</t>
        </is>
      </c>
      <c r="B7" s="22">
        <f>COUNTIF('Base Tratada'!$E$5:$E$104,A7)</f>
        <v/>
      </c>
      <c r="C7" s="34">
        <f>SUMIF('Base Tratada'!$E$5:$E$104,A7,'Base Tratada'!$H$5:$H$104)</f>
        <v/>
      </c>
      <c r="D7" s="34">
        <f>IF(B7=0,0,C7/B7)</f>
        <v/>
      </c>
    </row>
    <row r="8">
      <c r="A8" s="33" t="inlineStr">
        <is>
          <t>911</t>
        </is>
      </c>
      <c r="B8" s="22">
        <f>COUNTIF('Base Tratada'!$E$5:$E$104,A8)</f>
        <v/>
      </c>
      <c r="C8" s="34">
        <f>SUMIF('Base Tratada'!$E$5:$E$104,A8,'Base Tratada'!$H$5:$H$104)</f>
        <v/>
      </c>
      <c r="D8" s="34">
        <f>IF(B8=0,0,C8/B8)</f>
        <v/>
      </c>
    </row>
    <row r="9">
      <c r="A9" s="33" t="inlineStr">
        <is>
          <t>Cayenne</t>
        </is>
      </c>
      <c r="B9" s="22">
        <f>COUNTIF('Base Tratada'!$E$5:$E$104,A9)</f>
        <v/>
      </c>
      <c r="C9" s="34">
        <f>SUMIF('Base Tratada'!$E$5:$E$104,A9,'Base Tratada'!$H$5:$H$104)</f>
        <v/>
      </c>
      <c r="D9" s="34">
        <f>IF(B9=0,0,C9/B9)</f>
        <v/>
      </c>
    </row>
    <row r="10">
      <c r="A10" s="33" t="inlineStr">
        <is>
          <t>Macan</t>
        </is>
      </c>
      <c r="B10" s="22">
        <f>COUNTIF('Base Tratada'!$E$5:$E$104,A10)</f>
        <v/>
      </c>
      <c r="C10" s="34">
        <f>SUMIF('Base Tratada'!$E$5:$E$104,A10,'Base Tratada'!$H$5:$H$104)</f>
        <v/>
      </c>
      <c r="D10" s="34">
        <f>IF(B10=0,0,C10/B10)</f>
        <v/>
      </c>
    </row>
    <row r="11">
      <c r="A11" s="33" t="inlineStr">
        <is>
          <t>Panamera</t>
        </is>
      </c>
      <c r="B11" s="22">
        <f>COUNTIF('Base Tratada'!$E$5:$E$104,A11)</f>
        <v/>
      </c>
      <c r="C11" s="34">
        <f>SUMIF('Base Tratada'!$E$5:$E$104,A11,'Base Tratada'!$H$5:$H$104)</f>
        <v/>
      </c>
      <c r="D11" s="34">
        <f>IF(B11=0,0,C11/B11)</f>
        <v/>
      </c>
    </row>
    <row r="12">
      <c r="A12" s="33" t="inlineStr">
        <is>
          <t>Taycan</t>
        </is>
      </c>
      <c r="B12" s="22">
        <f>COUNTIF('Base Tratada'!$E$5:$E$104,A12)</f>
        <v/>
      </c>
      <c r="C12" s="34">
        <f>SUMIF('Base Tratada'!$E$5:$E$104,A12,'Base Tratada'!$H$5:$H$104)</f>
        <v/>
      </c>
      <c r="D12" s="34">
        <f>IF(B12=0,0,C12/B12)</f>
        <v/>
      </c>
    </row>
    <row r="14" ht="19" customHeight="1">
      <c r="A14" s="30" t="inlineStr">
        <is>
          <t>2) POR ANO-MODELO</t>
        </is>
      </c>
    </row>
    <row r="15">
      <c r="A15" s="31" t="inlineStr">
        <is>
          <t>Ano</t>
        </is>
      </c>
      <c r="B15" s="32" t="inlineStr">
        <is>
          <t>Vendas</t>
        </is>
      </c>
      <c r="C15" s="32" t="inlineStr">
        <is>
          <t>Receita (US$)</t>
        </is>
      </c>
      <c r="D15" s="32" t="inlineStr">
        <is>
          <t>Ticket médio (US$)</t>
        </is>
      </c>
    </row>
    <row r="16">
      <c r="A16" s="33" t="inlineStr">
        <is>
          <t>2020</t>
        </is>
      </c>
      <c r="B16" s="22">
        <f>COUNTIF('Base Tratada'!$G$5:$G$104,A16)</f>
        <v/>
      </c>
      <c r="C16" s="34">
        <f>SUMIF('Base Tratada'!$G$5:$G$104,A16,'Base Tratada'!$H$5:$H$104)</f>
        <v/>
      </c>
      <c r="D16" s="34">
        <f>IF(B16=0,0,C16/B16)</f>
        <v/>
      </c>
    </row>
    <row r="17">
      <c r="A17" s="33" t="inlineStr">
        <is>
          <t>2021</t>
        </is>
      </c>
      <c r="B17" s="22">
        <f>COUNTIF('Base Tratada'!$G$5:$G$104,A17)</f>
        <v/>
      </c>
      <c r="C17" s="34">
        <f>SUMIF('Base Tratada'!$G$5:$G$104,A17,'Base Tratada'!$H$5:$H$104)</f>
        <v/>
      </c>
      <c r="D17" s="34">
        <f>IF(B17=0,0,C17/B17)</f>
        <v/>
      </c>
    </row>
    <row r="18">
      <c r="A18" s="33" t="inlineStr">
        <is>
          <t>2022</t>
        </is>
      </c>
      <c r="B18" s="22">
        <f>COUNTIF('Base Tratada'!$G$5:$G$104,A18)</f>
        <v/>
      </c>
      <c r="C18" s="34">
        <f>SUMIF('Base Tratada'!$G$5:$G$104,A18,'Base Tratada'!$H$5:$H$104)</f>
        <v/>
      </c>
      <c r="D18" s="34">
        <f>IF(B18=0,0,C18/B18)</f>
        <v/>
      </c>
    </row>
    <row r="19">
      <c r="A19" s="33" t="inlineStr">
        <is>
          <t>2023</t>
        </is>
      </c>
      <c r="B19" s="22">
        <f>COUNTIF('Base Tratada'!$G$5:$G$104,A19)</f>
        <v/>
      </c>
      <c r="C19" s="34">
        <f>SUMIF('Base Tratada'!$G$5:$G$104,A19,'Base Tratada'!$H$5:$H$104)</f>
        <v/>
      </c>
      <c r="D19" s="34">
        <f>IF(B19=0,0,C19/B19)</f>
        <v/>
      </c>
    </row>
    <row r="20">
      <c r="A20" s="33" t="inlineStr">
        <is>
          <t>2024</t>
        </is>
      </c>
      <c r="B20" s="22">
        <f>COUNTIF('Base Tratada'!$G$5:$G$104,A20)</f>
        <v/>
      </c>
      <c r="C20" s="34">
        <f>SUMIF('Base Tratada'!$G$5:$G$104,A20,'Base Tratada'!$H$5:$H$104)</f>
        <v/>
      </c>
      <c r="D20" s="34">
        <f>IF(B20=0,0,C20/B20)</f>
        <v/>
      </c>
    </row>
    <row r="21">
      <c r="A21" s="33" t="inlineStr">
        <is>
          <t>2025</t>
        </is>
      </c>
      <c r="B21" s="22">
        <f>COUNTIF('Base Tratada'!$G$5:$G$104,A21)</f>
        <v/>
      </c>
      <c r="C21" s="34">
        <f>SUMIF('Base Tratada'!$G$5:$G$104,A21,'Base Tratada'!$H$5:$H$104)</f>
        <v/>
      </c>
      <c r="D21" s="34">
        <f>IF(B21=0,0,C21/B21)</f>
        <v/>
      </c>
    </row>
    <row r="22">
      <c r="A22" s="33" t="inlineStr">
        <is>
          <t>2026</t>
        </is>
      </c>
      <c r="B22" s="22">
        <f>COUNTIF('Base Tratada'!$G$5:$G$104,A22)</f>
        <v/>
      </c>
      <c r="C22" s="34">
        <f>SUMIF('Base Tratada'!$G$5:$G$104,A22,'Base Tratada'!$H$5:$H$104)</f>
        <v/>
      </c>
      <c r="D22" s="34">
        <f>IF(B22=0,0,C22/B22)</f>
        <v/>
      </c>
    </row>
    <row r="24" ht="19" customHeight="1">
      <c r="A24" s="30" t="inlineStr">
        <is>
          <t>3) POR MÉTODO DE PAGAMENTO</t>
        </is>
      </c>
    </row>
    <row r="25">
      <c r="A25" s="31" t="inlineStr">
        <is>
          <t>Pagamento</t>
        </is>
      </c>
      <c r="B25" s="32" t="inlineStr">
        <is>
          <t>Vendas</t>
        </is>
      </c>
      <c r="C25" s="32" t="inlineStr">
        <is>
          <t>Receita (US$)</t>
        </is>
      </c>
      <c r="D25" s="32" t="inlineStr">
        <is>
          <t>Ticket médio (US$)</t>
        </is>
      </c>
    </row>
    <row r="26">
      <c r="A26" s="33" t="inlineStr">
        <is>
          <t>Transferência (wire)</t>
        </is>
      </c>
      <c r="B26" s="22">
        <f>COUNTIF('Base Tratada'!$J$5:$J$104,A26)</f>
        <v/>
      </c>
      <c r="C26" s="34">
        <f>SUMIF('Base Tratada'!$J$5:$J$104,A26,'Base Tratada'!$H$5:$H$104)</f>
        <v/>
      </c>
      <c r="D26" s="34">
        <f>IF(B26=0,0,C26/B26)</f>
        <v/>
      </c>
    </row>
    <row r="27">
      <c r="A27" s="33" t="inlineStr">
        <is>
          <t>Cartão de crédito</t>
        </is>
      </c>
      <c r="B27" s="22">
        <f>COUNTIF('Base Tratada'!$J$5:$J$104,A27)</f>
        <v/>
      </c>
      <c r="C27" s="34">
        <f>SUMIF('Base Tratada'!$J$5:$J$104,A27,'Base Tratada'!$H$5:$H$104)</f>
        <v/>
      </c>
      <c r="D27" s="34">
        <f>IF(B27=0,0,C27/B27)</f>
        <v/>
      </c>
    </row>
    <row r="28">
      <c r="A28" s="33" t="inlineStr">
        <is>
          <t>Financiamento</t>
        </is>
      </c>
      <c r="B28" s="22">
        <f>COUNTIF('Base Tratada'!$J$5:$J$104,A28)</f>
        <v/>
      </c>
      <c r="C28" s="34">
        <f>SUMIF('Base Tratada'!$J$5:$J$104,A28,'Base Tratada'!$H$5:$H$104)</f>
        <v/>
      </c>
      <c r="D28" s="34">
        <f>IF(B28=0,0,C28/B28)</f>
        <v/>
      </c>
    </row>
    <row r="29">
      <c r="A29" s="33" t="inlineStr">
        <is>
          <t>Dinheiro</t>
        </is>
      </c>
      <c r="B29" s="22">
        <f>COUNTIF('Base Tratada'!$J$5:$J$104,A29)</f>
        <v/>
      </c>
      <c r="C29" s="34">
        <f>SUMIF('Base Tratada'!$J$5:$J$104,A29,'Base Tratada'!$H$5:$H$104)</f>
        <v/>
      </c>
      <c r="D29" s="34">
        <f>IF(B29=0,0,C29/B29)</f>
        <v/>
      </c>
    </row>
    <row r="30">
      <c r="A30" s="33" t="inlineStr">
        <is>
          <t>Transferência bancária</t>
        </is>
      </c>
      <c r="B30" s="22">
        <f>COUNTIF('Base Tratada'!$J$5:$J$104,A30)</f>
        <v/>
      </c>
      <c r="C30" s="34">
        <f>SUMIF('Base Tratada'!$J$5:$J$104,A30,'Base Tratada'!$H$5:$H$104)</f>
        <v/>
      </c>
      <c r="D30" s="34">
        <f>IF(B30=0,0,C30/B30)</f>
        <v/>
      </c>
    </row>
    <row r="31">
      <c r="A31" s="33" t="inlineStr">
        <is>
          <t>Locação (leasing)</t>
        </is>
      </c>
      <c r="B31" s="22">
        <f>COUNTIF('Base Tratada'!$J$5:$J$104,A31)</f>
        <v/>
      </c>
      <c r="C31" s="34">
        <f>SUMIF('Base Tratada'!$J$5:$J$104,A31,'Base Tratada'!$H$5:$H$104)</f>
        <v/>
      </c>
      <c r="D31" s="34">
        <f>IF(B31=0,0,C31/B31)</f>
        <v/>
      </c>
    </row>
    <row r="32">
      <c r="A32" s="33" t="inlineStr">
        <is>
          <t>Cripto</t>
        </is>
      </c>
      <c r="B32" s="22">
        <f>COUNTIF('Base Tratada'!$J$5:$J$104,A32)</f>
        <v/>
      </c>
      <c r="C32" s="34">
        <f>SUMIF('Base Tratada'!$J$5:$J$104,A32,'Base Tratada'!$H$5:$H$104)</f>
        <v/>
      </c>
      <c r="D32" s="34">
        <f>IF(B32=0,0,C32/B32)</f>
        <v/>
      </c>
    </row>
    <row r="33">
      <c r="A33" s="33" t="inlineStr">
        <is>
          <t>Cartão de débito</t>
        </is>
      </c>
      <c r="B33" s="22">
        <f>COUNTIF('Base Tratada'!$J$5:$J$104,A33)</f>
        <v/>
      </c>
      <c r="C33" s="34">
        <f>SUMIF('Base Tratada'!$J$5:$J$104,A33,'Base Tratada'!$H$5:$H$104)</f>
        <v/>
      </c>
      <c r="D33" s="34">
        <f>IF(B33=0,0,C33/B33)</f>
        <v/>
      </c>
    </row>
    <row r="34">
      <c r="A34" s="33" t="inlineStr">
        <is>
          <t>ACH</t>
        </is>
      </c>
      <c r="B34" s="22">
        <f>COUNTIF('Base Tratada'!$J$5:$J$104,A34)</f>
        <v/>
      </c>
      <c r="C34" s="34">
        <f>SUMIF('Base Tratada'!$J$5:$J$104,A34,'Base Tratada'!$H$5:$H$104)</f>
        <v/>
      </c>
      <c r="D34" s="34">
        <f>IF(B34=0,0,C34/B34)</f>
        <v/>
      </c>
    </row>
    <row r="36" ht="19" customHeight="1">
      <c r="A36" s="30" t="inlineStr">
        <is>
          <t>4) POR GRUPO DE STATUS</t>
        </is>
      </c>
    </row>
    <row r="37">
      <c r="A37" s="31" t="inlineStr">
        <is>
          <t>Status</t>
        </is>
      </c>
      <c r="B37" s="32" t="inlineStr">
        <is>
          <t>Vendas</t>
        </is>
      </c>
      <c r="C37" s="32" t="inlineStr">
        <is>
          <t>Receita (US$)</t>
        </is>
      </c>
      <c r="D37" s="32" t="inlineStr">
        <is>
          <t>Ticket médio (US$)</t>
        </is>
      </c>
    </row>
    <row r="38">
      <c r="A38" s="33" t="inlineStr">
        <is>
          <t>Entregue</t>
        </is>
      </c>
      <c r="B38" s="22">
        <f>COUNTIF('Base Tratada'!$O$5:$O$104,A38)</f>
        <v/>
      </c>
      <c r="C38" s="34">
        <f>SUMIF('Base Tratada'!$O$5:$O$104,A38,'Base Tratada'!$H$5:$H$104)</f>
        <v/>
      </c>
      <c r="D38" s="34">
        <f>IF(B38=0,0,C38/B38)</f>
        <v/>
      </c>
    </row>
    <row r="39">
      <c r="A39" s="33" t="inlineStr">
        <is>
          <t>Pendente</t>
        </is>
      </c>
      <c r="B39" s="22">
        <f>COUNTIF('Base Tratada'!$O$5:$O$104,A39)</f>
        <v/>
      </c>
      <c r="C39" s="34">
        <f>SUMIF('Base Tratada'!$O$5:$O$104,A39,'Base Tratada'!$H$5:$H$104)</f>
        <v/>
      </c>
      <c r="D39" s="34">
        <f>IF(B39=0,0,C39/B39)</f>
        <v/>
      </c>
    </row>
    <row r="40">
      <c r="A40" s="33" t="inlineStr">
        <is>
          <t>Em trânsito</t>
        </is>
      </c>
      <c r="B40" s="22">
        <f>COUNTIF('Base Tratada'!$O$5:$O$104,A40)</f>
        <v/>
      </c>
      <c r="C40" s="34">
        <f>SUMIF('Base Tratada'!$O$5:$O$104,A40,'Base Tratada'!$H$5:$H$104)</f>
        <v/>
      </c>
      <c r="D40" s="34">
        <f>IF(B40=0,0,C40/B40)</f>
        <v/>
      </c>
    </row>
    <row r="41">
      <c r="A41" s="33" t="inlineStr">
        <is>
          <t>Aguardando</t>
        </is>
      </c>
      <c r="B41" s="22">
        <f>COUNTIF('Base Tratada'!$O$5:$O$104,A41)</f>
        <v/>
      </c>
      <c r="C41" s="34">
        <f>SUMIF('Base Tratada'!$O$5:$O$104,A41,'Base Tratada'!$H$5:$H$104)</f>
        <v/>
      </c>
      <c r="D41" s="34">
        <f>IF(B41=0,0,C41/B41)</f>
        <v/>
      </c>
    </row>
    <row r="42">
      <c r="A42" s="33" t="inlineStr">
        <is>
          <t>Cancelado</t>
        </is>
      </c>
      <c r="B42" s="22">
        <f>COUNTIF('Base Tratada'!$O$5:$O$104,A42)</f>
        <v/>
      </c>
      <c r="C42" s="34">
        <f>SUMIF('Base Tratada'!$O$5:$O$104,A42,'Base Tratada'!$H$5:$H$104)</f>
        <v/>
      </c>
      <c r="D42" s="34">
        <f>IF(B42=0,0,C42/B42)</f>
        <v/>
      </c>
    </row>
    <row r="44" ht="19" customHeight="1">
      <c r="A44" s="30" t="inlineStr">
        <is>
          <t>5) CONFERÊNCIA</t>
        </is>
      </c>
    </row>
    <row r="45">
      <c r="A45" s="33" t="inlineStr">
        <is>
          <t>Registros na base</t>
        </is>
      </c>
      <c r="C45" s="35">
        <f>COUNTA('Base Tratada'!A5:A104)</f>
        <v/>
      </c>
    </row>
    <row r="46">
      <c r="A46" s="33" t="inlineStr">
        <is>
          <t>Receita total (US$)</t>
        </is>
      </c>
      <c r="C46" s="34">
        <f>SUM('Base Tratada'!H5:H104)</f>
        <v/>
      </c>
    </row>
    <row r="47">
      <c r="A47" s="33" t="inlineStr">
        <is>
          <t>Ticket médio (US$)</t>
        </is>
      </c>
      <c r="C47" s="34">
        <f>AVERAGE('Base Tratada'!H5:H104)</f>
        <v/>
      </c>
    </row>
    <row r="48">
      <c r="A48" s="33" t="inlineStr">
        <is>
          <t>Datas válidas</t>
        </is>
      </c>
      <c r="C48" s="35">
        <f>COUNTIF('Base Tratada'!C5:C104,"Sim")</f>
        <v/>
      </c>
    </row>
    <row r="49">
      <c r="A49" s="33" t="inlineStr">
        <is>
          <t>Datas inválidas (marcadas)</t>
        </is>
      </c>
      <c r="C49" s="35">
        <f>COUNTIF('Base Tratada'!C5:C104,"Não")</f>
        <v/>
      </c>
    </row>
  </sheetData>
  <mergeCells count="6">
    <mergeCell ref="A24:E24"/>
    <mergeCell ref="A1:E1"/>
    <mergeCell ref="A5:E5"/>
    <mergeCell ref="A36:E36"/>
    <mergeCell ref="A14:E14"/>
    <mergeCell ref="A44:E44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Porsche — Base de vendas tratada (desafio DIO)</dc:title>
  <dcterms:created xmlns:dcterms="http://purl.org/dc/terms/" xmlns:xsi="http://www.w3.org/2001/XMLSchema-instance" xsi:type="dcterms:W3CDTF">2026-10-11T17:06:50Z</dcterms:created>
  <dcterms:modified xmlns:dcterms="http://purl.org/dc/terms/" xmlns:xsi="http://www.w3.org/2001/XMLSchema-instance" xsi:type="dcterms:W3CDTF">2026-10-11T17:06:51Z</dcterms:modified>
</cp:coreProperties>
</file>
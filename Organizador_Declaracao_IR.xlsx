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Titular" sheetId="2" state="visible" r:id="rId2"/>
    <sheet xmlns:r="http://schemas.openxmlformats.org/officeDocument/2006/relationships" name="Informes" sheetId="3" state="visible" r:id="rId3"/>
    <sheet xmlns:r="http://schemas.openxmlformats.org/officeDocument/2006/relationships" name="Notas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Resumo" sheetId="6" state="visible" r:id="rId6"/>
    <sheet xmlns:r="http://schemas.openxmlformats.org/officeDocument/2006/relationships" name="Auxiliar" sheetId="7" state="visible" r:id="rId7"/>
  </sheets>
  <definedNames>
    <definedName name="VoltarAoMenu">HYPERLINK("#'Menu'!B2","«  Voltar ao Menu")</definedName>
    <definedName name="ListaTipoRendimento">Auxiliar!$B$5:$B$12</definedName>
    <definedName name="ListaTributacao">Auxiliar!$C$5:$C$7</definedName>
    <definedName name="ListaCategoriaNota">Auxiliar!$D$5:$D$11</definedName>
    <definedName name="ListaPagamento">Auxiliar!$E$5:$E$10</definedName>
    <definedName name="ListaBens">Auxiliar!$F$5:$F$13</definedName>
    <definedName name="ListaEstadoCivil">Auxiliar!$G$5:$G$9</definedName>
    <definedName name="ListaParentesco">Auxiliar!$H$5:$H$9</definedName>
    <definedName name="ListaUF">Auxiliar!$I$5:$I$31</definedName>
    <definedName name="ListaSimNao">Auxiliar!$H$11:$H$12</definedName>
    <definedName name="ListaChecklist">Auxiliar!$H$14:$H$15</definedName>
    <definedName name="ListaSituacao">Auxiliar!$H$17:$H$19</definedName>
    <definedName name="AnoCalendario">Titular!$C$4</definedName>
    <definedName name="SituacoesInformes">Informes!$I$5:$I$40</definedName>
    <definedName name="AjudaPerguntas">Auxiliar!$B$63:$B$67</definedName>
    <definedName name="AjudaRespostas">Auxiliar!$C$63:$C$67</definedName>
    <definedName name="TetoSimplificado">Auxiliar!$C$36</definedName>
    <definedName name="LimiteDependente">Auxiliar!$C$37</definedName>
    <definedName name="LimiteEducacao">Auxiliar!$C$38</definedName>
    <definedName name="PctPrevidencia">Auxiliar!$C$39</definedName>
    <definedName name="FaixasIR">Auxiliar!$B$43:$B$47</definedName>
    <definedName name="AliquotasIR">Auxiliar!$C$43:$C$47</definedName>
    <definedName name="ParcelasIR">Auxiliar!$D$43:$D$47</definedName>
    <definedName name="Tributacoes">Informes!$E$5:$E$40</definedName>
    <definedName name="ValoresInformes">Informes!$F$5:$F$40</definedName>
    <definedName name="IRRFInformes">Informes!$G$5:$G$40</definedName>
    <definedName name="PrevidenciaInformes">Informes!$H$5:$H$40</definedName>
    <definedName name="CategoriasNotas">Notas!$E$5:$E$40</definedName>
    <definedName name="ValoresNotas">Notas!$F$5:$F$40</definedName>
    <definedName name="ComprovantesNotas">Notas!$H$5:$H$40</definedName>
    <definedName name="BensTipos">Bens!$B$5:$B$24</definedName>
    <definedName name="NumDependentes">Titular!$C$39</definedName>
    <definedName name="RendimentoTributavel">Resumo!$C$6</definedName>
    <definedName name="IRRFRetido">Resumo!$C$10</definedName>
    <definedName name="TotalDeducoes">Resumo!$C$22</definedName>
    <definedName name="DescontoSimplificado">Resumo!$C$25</definedName>
    <definedName name="ModeloRecomendado">Resumo!$C$27</definedName>
    <definedName name="ImpostoDevido">Resumo!$C$35</definedName>
    <definedName name="ResultadoIR">Resumo!$C$37</definedName>
    <definedName name="_xlnm.Print_Area" localSheetId="0">'Menu'!$A$1:$E$40</definedName>
    <definedName name="_xlnm.Print_Area" localSheetId="1">'Titular'!$A$1:$F$41</definedName>
    <definedName name="_xlnm.Print_Area" localSheetId="2">'Informes'!$A$1:$N$42</definedName>
    <definedName name="_xlnm.Print_Area" localSheetId="3">'Notas'!$A$1:$L$42</definedName>
    <definedName name="_xlnm.Print_Area" localSheetId="4">'Bens'!$A$1:$J$26</definedName>
    <definedName name="_xlnm.Print_Area" localSheetId="5">'Resumo'!$A$1:$E$64</definedName>
    <definedName name="_xlnm.Print_Area" localSheetId="6">'Auxiliar'!$A$1:$J$68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.00"/>
    <numFmt numFmtId="165" formatCode="000&quot;.&quot;000&quot;.&quot;000&quot;-&quot;00&quot;"/>
    <numFmt numFmtId="166" formatCode="00&quot;.&quot;000&quot;.&quot;000&quot;/&quot;0000&quot;-&quot;00&quot;"/>
    <numFmt numFmtId="167" formatCode="00000&quot;-&quot;000"/>
    <numFmt numFmtId="168" formatCode="&quot;(&quot;00&quot;) &quot;00000&quot;-&quot;0000&quot;"/>
    <numFmt numFmtId="169" formatCode="dd/mm/yyyy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5A6B7B"/>
      <sz val="9"/>
    </font>
    <font>
      <name val="Calibri"/>
      <b val="1"/>
      <color rgb="00FFFFFF"/>
      <sz val="9.5"/>
    </font>
    <font>
      <name val="Calibri"/>
      <color rgb="000F2437"/>
      <sz val="9.5"/>
    </font>
    <font>
      <name val="Calibri"/>
      <b val="1"/>
      <color rgb="00FFFFFF"/>
      <sz val="11"/>
    </font>
    <font>
      <name val="Calibri"/>
      <b val="1"/>
      <color rgb="000F2437"/>
      <sz val="10.5"/>
    </font>
    <font>
      <name val="Calibri"/>
      <b val="1"/>
      <color rgb="0016365C"/>
      <sz val="11"/>
    </font>
    <font>
      <name val="Calibri"/>
      <color rgb="000F2437"/>
      <sz val="11"/>
    </font>
    <font>
      <name val="Calibri"/>
      <i val="1"/>
      <color rgb="009C6B0A"/>
      <sz val="9"/>
    </font>
    <font>
      <name val="Calibri"/>
      <b val="1"/>
      <color rgb="000F2437"/>
      <sz val="10"/>
    </font>
    <font>
      <name val="Calibri"/>
      <b val="1"/>
      <color rgb="000F2437"/>
      <sz val="9.5"/>
    </font>
    <font>
      <name val="Calibri"/>
      <i val="1"/>
      <color rgb="005A6B7B"/>
      <sz val="9.5"/>
    </font>
    <font>
      <name val="Calibri"/>
      <b val="1"/>
      <color rgb="0014432F"/>
      <sz val="11"/>
    </font>
    <font>
      <name val="Calibri"/>
      <color rgb="005A6B7B"/>
      <sz val="9.5"/>
    </font>
    <font>
      <name val="Calibri"/>
      <b val="1"/>
      <color rgb="00FFFFFF"/>
      <sz val="10.5"/>
    </font>
    <font>
      <name val="Calibri"/>
      <color rgb="000F2437"/>
      <sz val="10"/>
    </font>
    <font>
      <name val="Calibri"/>
      <b val="1"/>
      <color rgb="00FFFFFF"/>
      <sz val="13"/>
    </font>
    <font>
      <name val="Calibri"/>
      <color rgb="000F2437"/>
      <sz val="10.5"/>
    </font>
    <font>
      <name val="Calibri"/>
      <b val="1"/>
      <color rgb="00122E4A"/>
      <sz val="11"/>
    </font>
    <font>
      <name val="Calibri"/>
      <b val="1"/>
      <color rgb="00FFFFFF"/>
      <sz val="11.5"/>
    </font>
    <font>
      <name val="Calibri"/>
      <b val="1"/>
      <color rgb="00FFFFFF"/>
      <sz val="12"/>
    </font>
    <font>
      <name val="Calibri"/>
      <b val="1"/>
      <color rgb="00FFFFFF"/>
      <sz val="16"/>
    </font>
    <font>
      <name val="Calibri"/>
      <i val="1"/>
      <color rgb="001B4F7E"/>
      <sz val="10.5"/>
    </font>
    <font>
      <name val="Calibri"/>
      <b val="1"/>
      <color rgb="00122E4A"/>
      <sz val="13"/>
    </font>
    <font>
      <name val="Calibri"/>
      <b val="1"/>
      <color rgb="00122E4A"/>
      <sz val="10.5"/>
    </font>
    <font>
      <name val="Calibri"/>
      <color rgb="0014432F"/>
      <sz val="9"/>
    </font>
    <font>
      <name val="Calibri"/>
      <b val="1"/>
      <color rgb="0016365C"/>
      <sz val="10"/>
    </font>
    <font>
      <name val="Calibri"/>
      <b val="1"/>
      <color rgb="005A6B7B"/>
      <sz val="8"/>
    </font>
    <font>
      <name val="Calibri"/>
      <b val="1"/>
      <color rgb="00122E4A"/>
      <sz val="9.5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22E4A"/>
      </patternFill>
    </fill>
    <fill>
      <patternFill patternType="solid">
        <fgColor rgb="002E8BC0"/>
      </patternFill>
    </fill>
    <fill>
      <patternFill patternType="solid">
        <fgColor rgb="001B4F7E"/>
      </patternFill>
    </fill>
    <fill>
      <patternFill patternType="solid">
        <fgColor rgb="00E8F2FB"/>
      </patternFill>
    </fill>
    <fill>
      <patternFill patternType="solid">
        <fgColor rgb="00F3F7FB"/>
      </patternFill>
    </fill>
    <fill>
      <patternFill patternType="solid">
        <fgColor rgb="001E7F53"/>
      </patternFill>
    </fill>
    <fill>
      <patternFill patternType="solid">
        <fgColor rgb="009C6B0A"/>
      </patternFill>
    </fill>
  </fills>
  <borders count="6">
    <border>
      <left/>
      <right/>
      <top/>
      <bottom/>
      <diagonal/>
    </border>
    <border>
      <left style="thin">
        <color rgb="00C9D9E8"/>
      </left>
      <right style="thin">
        <color rgb="00C9D9E8"/>
      </right>
      <top style="thin">
        <color rgb="00C9D9E8"/>
      </top>
      <bottom style="thin">
        <color rgb="00C9D9E8"/>
      </bottom>
    </border>
    <border>
      <left/>
      <right/>
      <top style="thin">
        <color rgb="00C9D9E8"/>
      </top>
      <bottom/>
      <diagonal/>
    </border>
    <border>
      <left/>
      <right style="thin">
        <color rgb="00C9D9E8"/>
      </right>
      <top style="thin">
        <color rgb="00C9D9E8"/>
      </top>
      <bottom/>
      <diagonal/>
    </border>
    <border>
      <left/>
      <right/>
      <top style="thin">
        <color rgb="00C9D9E8"/>
      </top>
      <bottom style="thin">
        <color rgb="00C9D9E8"/>
      </bottom>
      <diagonal/>
    </border>
    <border>
      <left/>
      <right style="thin">
        <color rgb="00C9D9E8"/>
      </right>
      <top style="thin">
        <color rgb="00C9D9E8"/>
      </top>
      <bottom style="thin">
        <color rgb="00C9D9E8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2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left" vertical="center" wrapText="1" indent="1"/>
    </xf>
    <xf numFmtId="0" fontId="27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/>
    </xf>
    <xf numFmtId="0" fontId="28" fillId="5" borderId="1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1" fontId="9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indent="1"/>
    </xf>
    <xf numFmtId="0" fontId="30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 wrapText="1"/>
    </xf>
    <xf numFmtId="165" fontId="9" fillId="5" borderId="1" applyAlignment="1" pivotButton="0" quotePrefix="0" xfId="0">
      <alignment horizontal="left" vertical="center"/>
    </xf>
    <xf numFmtId="169" fontId="9" fillId="5" borderId="1" applyAlignment="1" pivotButton="0" quotePrefix="0" xfId="0">
      <alignment horizontal="left" vertical="center"/>
    </xf>
    <xf numFmtId="168" fontId="9" fillId="5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left" vertical="center"/>
    </xf>
    <xf numFmtId="9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5" fontId="9" fillId="5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" fontId="14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  <xf numFmtId="164" fontId="17" fillId="6" borderId="1" applyAlignment="1" pivotButton="0" quotePrefix="0" xfId="0">
      <alignment horizontal="center" vertical="center"/>
    </xf>
    <xf numFmtId="3" fontId="17" fillId="6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right" vertical="center"/>
    </xf>
    <xf numFmtId="164" fontId="16" fillId="2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64" fontId="2" fillId="2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indent="1"/>
    </xf>
    <xf numFmtId="164" fontId="19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164" fontId="21" fillId="7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8" borderId="1" applyAlignment="1" pivotButton="0" quotePrefix="0" xfId="0">
      <alignment horizontal="center" vertical="center"/>
    </xf>
    <xf numFmtId="10" fontId="19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164" fontId="5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164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9" fontId="8" fillId="5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10" fontId="8" fillId="5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Calibri"/>
        <color rgb="001E7F53"/>
      </font>
      <fill>
        <patternFill patternType="solid">
          <bgColor rgb="00E4F5EA"/>
        </patternFill>
      </fill>
    </dxf>
    <dxf>
      <font>
        <name val="Calibri"/>
        <color rgb="004A4A6A"/>
      </font>
      <fill>
        <patternFill patternType="solid">
          <bgColor rgb="00EFEFF5"/>
        </patternFill>
      </fill>
    </dxf>
    <dxf>
      <font>
        <name val="Calibri"/>
        <b val="1"/>
        <color rgb="008A4B08"/>
      </font>
      <fill>
        <patternFill patternType="solid">
          <bgColor rgb="00FDF3E7"/>
        </patternFill>
      </fill>
    </dxf>
    <dxf>
      <font>
        <name val="Calibri"/>
        <b val="1"/>
        <color rgb="001E7F53"/>
      </font>
    </dxf>
    <dxf>
      <font>
        <name val="Calibri"/>
        <color rgb="002E8BC0"/>
      </font>
    </dxf>
    <dxf>
      <font>
        <name val="Calibri"/>
        <b val="1"/>
        <color rgb="00B03A2E"/>
      </font>
      <fill>
        <patternFill patternType="solid">
          <bgColor rgb="00FCEBE9"/>
        </patternFill>
      </fill>
    </dxf>
    <dxf>
      <font>
        <name val="Calibri"/>
        <color rgb="008A4B08"/>
        <sz val="9.5"/>
      </font>
      <fill>
        <patternFill patternType="solid">
          <bgColor rgb="00F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Rendimentos por tributação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'Informes'!$M$5:$M$7</f>
            </numRef>
          </cat>
          <val>
            <numRef>
              <f>'Informes'!$N$5:$N$7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 por categoria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'Notas'!$K$5:$K$9</f>
            </numRef>
          </cat>
          <val>
            <numRef>
              <f>'Notas'!$L$5:$L$9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Imposto estimado por modelo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'Resumo'!D47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'Resumo'!$B$48:$B$49</f>
            </numRef>
          </cat>
          <val>
            <numRef>
              <f>'Resumo'!$D$48:$D$49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Organizador IR</author>
  </authors>
  <commentList>
    <comment ref="C4" authorId="0" shapeId="0">
      <text>
        <t>Ano-calendário dos lançamentos (exercício = ano + 1).
Alimenta os títulos das telas e o cabeçalho dos saldos em 31/12.</t>
      </text>
    </comment>
    <comment ref="C17" authorId="0" shapeId="0">
      <text>
        <t>Barra de dados: quanto do cadastro está preenchido.
=CONT.VALORES(C5:C16)/12</t>
      </text>
    </comment>
  </commentList>
</comments>
</file>

<file path=xl/comments/comment2.xml><?xml version="1.0" encoding="utf-8"?>
<comments xmlns="http://schemas.openxmlformats.org/spreadsheetml/2006/main">
  <authors>
    <author>Organizador IR</author>
  </authors>
  <commentList>
    <comment ref="C27" authorId="0" shapeId="0">
      <text>
        <t>Compara deduções legais × desconto simplificado e recomenda o modelo
que paga menos imposto. Trocar um valor em Notas muda a recomendação.</t>
      </text>
    </comment>
    <comment ref="C33" authorId="0" shapeId="0">
      <text>
        <t>Imposto pela tabela progressiva: base × alíquota − parcela a deduzir.
A faixa é achada com PROCURAR (LOOKUP) na tabela de Auxiliar.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12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12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46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22E4A"/>
    <outlinePr summaryBelow="1" summaryRight="1"/>
    <pageSetUpPr fitToPage="1"/>
  </sheetPr>
  <dimension ref="B2:E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8" customWidth="1" min="3" max="3"/>
    <col width="30" customWidth="1" min="4" max="4"/>
    <col width="18" customWidth="1" min="5" max="5"/>
  </cols>
  <sheetData>
    <row r="2" ht="30" customHeight="1">
      <c r="B2" s="1" t="inlineStr">
        <is>
          <t>ORGANIZADOR DA DECLARAÇÃO DE IMPOSTO DE RENDA</t>
        </is>
      </c>
    </row>
    <row r="3" ht="18" customHeight="1">
      <c r="B3" s="2">
        <f>"Desafio de Projeto • Santander Excel 2026 / DIO  •  menu, validações de dados, funções personalizadas e resumo fiscal  •  Ano-calendário "&amp;AnoCalendario</f>
        <v/>
      </c>
    </row>
    <row r="5" ht="20" customHeight="1">
      <c r="B5" s="3" t="inlineStr">
        <is>
          <t>Rendimentos tributáveis</t>
        </is>
      </c>
      <c r="D5" s="3" t="inlineStr">
        <is>
          <t>Deduções cadastradas</t>
        </is>
      </c>
    </row>
    <row r="6" ht="30" customHeight="1">
      <c r="B6" s="4">
        <f>RendimentoTributavel</f>
        <v/>
      </c>
      <c r="D6" s="4">
        <f>TotalDeducoes</f>
        <v/>
      </c>
    </row>
    <row r="7" ht="20" customHeight="1">
      <c r="B7" s="3" t="inlineStr">
        <is>
          <t>Modelo recomendado</t>
        </is>
      </c>
      <c r="D7" s="3">
        <f>IF(ResultadoIR&gt;=0,"⚠  Imposto a pagar (estimado)","✔  Restituição (estimada)")</f>
        <v/>
      </c>
    </row>
    <row r="8" ht="30" customHeight="1">
      <c r="B8" s="5">
        <f>ModeloRecomendado</f>
        <v/>
      </c>
      <c r="D8" s="4">
        <f>ABS(ResultadoIR)</f>
        <v/>
      </c>
    </row>
    <row r="10" ht="21" customHeight="1">
      <c r="B10" s="6" t="inlineStr">
        <is>
          <t>MENU — clique em “Abrir” para navegar (links entre as abas)</t>
        </is>
      </c>
    </row>
    <row r="11">
      <c r="B11" s="7" t="inlineStr">
        <is>
          <t>Seção</t>
        </is>
      </c>
      <c r="C11" s="7" t="inlineStr">
        <is>
          <t>O que tem</t>
        </is>
      </c>
      <c r="D11" s="7" t="inlineStr">
        <is>
          <t>Situação</t>
        </is>
      </c>
      <c r="E11" s="7" t="inlineStr">
        <is>
          <t>Ir para</t>
        </is>
      </c>
    </row>
    <row r="12" ht="26" customHeight="1">
      <c r="B12" s="8" t="inlineStr">
        <is>
          <t>Titular</t>
        </is>
      </c>
      <c r="C12" s="9" t="inlineStr">
        <is>
          <t>Seus dados, CPF, endereço, dependentes e o checklist de documentos.</t>
        </is>
      </c>
      <c r="D12" s="10">
        <f>IF(COUNTA(Titular!C5:C16)=12,"completo ✔",COUNTA(Titular!C5:C16)&amp;" de 12 campos")</f>
        <v/>
      </c>
      <c r="E12" s="11">
        <f>HYPERLINK("#'Titular'!B2","Abrir  »")</f>
        <v/>
      </c>
    </row>
    <row r="13" ht="26" customHeight="1">
      <c r="B13" s="8" t="inlineStr">
        <is>
          <t>Informes</t>
        </is>
      </c>
      <c r="C13" s="9" t="inlineStr">
        <is>
          <t>Rendimentos por fonte pagadora: valor, IRRF retido e previdência oficial.</t>
        </is>
      </c>
      <c r="D13" s="10">
        <f>COUNTA(Tributacoes)&amp;" informes • "&amp;COUNTIF(SituacoesInformes,"Verificar")&amp;" a verificar"</f>
        <v/>
      </c>
      <c r="E13" s="11">
        <f>HYPERLINK("#'Informes'!B4","Abrir  »")</f>
        <v/>
      </c>
    </row>
    <row r="14" ht="26" customHeight="1">
      <c r="B14" s="8" t="inlineStr">
        <is>
          <t>Notas</t>
        </is>
      </c>
      <c r="C14" s="9" t="inlineStr">
        <is>
          <t>Recibos e despesas dedutíveis: saúde, educação, PGBL, pensão e comprovantes.</t>
        </is>
      </c>
      <c r="D14" s="10">
        <f>COUNTA(CategoriasNotas)&amp;" notas cadastradas"</f>
        <v/>
      </c>
      <c r="E14" s="11">
        <f>HYPERLINK("#'Notas'!B4","Abrir  »")</f>
        <v/>
      </c>
    </row>
    <row r="15" ht="26" customHeight="1">
      <c r="B15" s="8" t="inlineStr">
        <is>
          <t>Bens</t>
        </is>
      </c>
      <c r="C15" s="9" t="inlineStr">
        <is>
          <t>Bens e direitos com os saldos em 31/12 e a variação patrimonial do ano.</t>
        </is>
      </c>
      <c r="D15" s="10">
        <f>COUNTA(BensTipos)&amp;" bens cadastrados"</f>
        <v/>
      </c>
      <c r="E15" s="11">
        <f>HYPERLINK("#'Bens'!B4","Abrir  »")</f>
        <v/>
      </c>
    </row>
    <row r="16" ht="26" customHeight="1">
      <c r="B16" s="8" t="inlineStr">
        <is>
          <t>Resumo</t>
        </is>
      </c>
      <c r="C16" s="9" t="inlineStr">
        <is>
          <t>Totais, comparação dos modelos e o imposto estimado (a pagar ou restituir).</t>
        </is>
      </c>
      <c r="D16" s="10">
        <f>ModeloRecomendado</f>
        <v/>
      </c>
      <c r="E16" s="11">
        <f>HYPERLINK("#'Resumo'!B5","Abrir  »")</f>
        <v/>
      </c>
    </row>
    <row r="17" ht="26" customHeight="1">
      <c r="B17" s="8" t="inlineStr">
        <is>
          <t>Auxiliar</t>
        </is>
      </c>
      <c r="C17" s="9" t="inlineStr">
        <is>
          <t>Listas de validação, tabela do IR, parâmetros fiscais e formatos personalizados.</t>
        </is>
      </c>
      <c r="D17" s="10">
        <f>"listas e parâmetros"</f>
        <v/>
      </c>
      <c r="E17" s="11">
        <f>HYPERLINK("#'Auxiliar'!B4","Abrir  »")</f>
        <v/>
      </c>
    </row>
    <row r="19" ht="21" customHeight="1">
      <c r="B19" s="6" t="inlineStr">
        <is>
          <t>COMO USAR — 5 PASSOS</t>
        </is>
      </c>
    </row>
    <row r="20" ht="24" customHeight="1">
      <c r="B20" s="12" t="inlineStr">
        <is>
          <t>1) Abra Titular e confirme seus dados, o estado civil e os dependentes (e marque o checklist dos documentos).</t>
        </is>
      </c>
    </row>
    <row r="21" ht="24" customHeight="1">
      <c r="B21" s="12" t="inlineStr">
        <is>
          <t>2) Reúna os informes do ano e cadastre cada fonte pagadora na aba Informes (valor, IRRF e previdência).</t>
        </is>
      </c>
    </row>
    <row r="22" ht="24" customHeight="1">
      <c r="B22" s="12" t="inlineStr">
        <is>
          <t>3) Lance os recibos que podem virar dedução na aba Notas — e marque se o comprovante está guardado.</t>
        </is>
      </c>
    </row>
    <row r="23" ht="24" customHeight="1">
      <c r="B23" s="12" t="inlineStr">
        <is>
          <t>4) Atualize a aba Bens com os saldos em 31/12 do ano anterior e do ano da declaração.</t>
        </is>
      </c>
    </row>
    <row r="24" ht="24" customHeight="1">
      <c r="B24" s="12" t="inlineStr">
        <is>
          <t>5) Abra o Resumo: compare os dois modelos, veja o imposto estimado e use os valores como guia de preenchimento.</t>
        </is>
      </c>
    </row>
    <row r="26" ht="21" customHeight="1">
      <c r="B26" s="6" t="inlineStr">
        <is>
          <t>AJUDA RÁPIDA — escolha uma dúvida e veja a resposta</t>
        </is>
      </c>
    </row>
    <row r="27" ht="20" customHeight="1">
      <c r="B27" s="13" t="inlineStr">
        <is>
          <t>Escolha uma dúvida:</t>
        </is>
      </c>
      <c r="C27" s="14" t="inlineStr">
        <is>
          <t>Quais documentos devo separar para a declaração?</t>
        </is>
      </c>
    </row>
    <row r="28" ht="16" customHeight="1">
      <c r="B28" s="15">
        <f>IFERROR(INDEX(AjudaRespostas,MATCH($C$27,AjudaPerguntas,0)),"Escolha uma dúvida na célula acima que a resposta aparece aqui.")</f>
        <v/>
      </c>
    </row>
    <row r="29" ht="16" customHeight="1"/>
    <row r="30" ht="16" customHeight="1"/>
    <row r="31" ht="16" customHeight="1"/>
    <row r="33" ht="30" customHeight="1">
      <c r="B33" s="16" t="inlineStr">
        <is>
          <t>A planilha vem com um exemplo preenchido (João Carlos) para você entender o funcionamento — apague os dados e use com os seus: os cálculos se refazem na hora. Valores e limites fiscais são referências: confirme a tabela vigente no site da Receita.</t>
        </is>
      </c>
    </row>
  </sheetData>
  <mergeCells count="21">
    <mergeCell ref="B7:C7"/>
    <mergeCell ref="B33:E33"/>
    <mergeCell ref="B24:E24"/>
    <mergeCell ref="B20:E20"/>
    <mergeCell ref="D6:E6"/>
    <mergeCell ref="B26:E26"/>
    <mergeCell ref="C27:E27"/>
    <mergeCell ref="B3:E3"/>
    <mergeCell ref="B8:C8"/>
    <mergeCell ref="B22:E22"/>
    <mergeCell ref="B28:E31"/>
    <mergeCell ref="D7:E7"/>
    <mergeCell ref="B21:E21"/>
    <mergeCell ref="B2:E2"/>
    <mergeCell ref="D8:E8"/>
    <mergeCell ref="B6:C6"/>
    <mergeCell ref="B23:E23"/>
    <mergeCell ref="B5:C5"/>
    <mergeCell ref="D5:E5"/>
    <mergeCell ref="B19:E19"/>
    <mergeCell ref="B10:E10"/>
  </mergeCells>
  <dataValidations count="1">
    <dataValidation sqref="C27" showDropDown="0" showInputMessage="0" showErrorMessage="1" allowBlank="1" type="list">
      <formula1>=AjudaPerguntas</formula1>
    </dataValidation>
  </dataValidations>
  <printOptions horizontalCentered="1"/>
  <pageMargins left="0.35" right="0.35" top="0.45" bottom="0.4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1B4F7E"/>
    <outlinePr summaryBelow="1" summaryRight="1"/>
    <pageSetUpPr fitToPage="1"/>
  </sheetPr>
  <dimension ref="A2:F39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6" customWidth="1" min="3" max="3"/>
    <col width="26" customWidth="1" min="4" max="4"/>
    <col width="18" customWidth="1" min="5" max="5"/>
    <col width="30" customWidth="1" min="6" max="6"/>
  </cols>
  <sheetData>
    <row r="2" ht="30" customHeight="1">
      <c r="B2" s="17" t="inlineStr">
        <is>
          <t>DADOS DO TITULAR (PESSOA FÍSICA)</t>
        </is>
      </c>
      <c r="E2" s="11">
        <f>VoltarAoMenu</f>
        <v/>
      </c>
    </row>
    <row r="3">
      <c r="A3" s="18" t="inlineStr">
        <is>
          <t>N A V E G A Ç Ã O</t>
        </is>
      </c>
      <c r="B3" s="19" t="inlineStr">
        <is>
          <t>Células azuis = você digita. Cinza = cálculo automático. CPF, CEP e telefone usam formatos personalizados; o ano-calendário alimenta os títulos das outras telas.</t>
        </is>
      </c>
    </row>
    <row r="4" ht="20" customHeight="1">
      <c r="A4" s="7">
        <f>VoltarAoMenu</f>
        <v/>
      </c>
      <c r="B4" s="20" t="inlineStr">
        <is>
          <t>Ano-calendário da declaração</t>
        </is>
      </c>
      <c r="C4" s="21" t="n">
        <v>2025</v>
      </c>
      <c r="D4" s="22" t="inlineStr">
        <is>
          <t>Mude o ano (ex.: 2025) e os títulos de Informes, Notas, Bens e Resumo se atualizam sozinhos.</t>
        </is>
      </c>
    </row>
    <row r="5" ht="22" customHeight="1">
      <c r="A5" s="23">
        <f>HYPERLINK("#Titular!B2","TITULAR")</f>
        <v/>
      </c>
      <c r="B5" s="20" t="inlineStr">
        <is>
          <t>Nome completo</t>
        </is>
      </c>
      <c r="C5" s="24" t="inlineStr">
        <is>
          <t>João Carlos Almeida</t>
        </is>
      </c>
      <c r="D5" s="25" t="inlineStr">
        <is>
          <t>Como consta no seu CPF.</t>
        </is>
      </c>
    </row>
    <row r="6" ht="22" customHeight="1">
      <c r="A6" s="7">
        <f>HYPERLINK("#Informes!B2","INFORMES")</f>
        <v/>
      </c>
      <c r="B6" s="20" t="inlineStr">
        <is>
          <t>CPF</t>
        </is>
      </c>
      <c r="C6" s="26" t="n">
        <v>12345678909</v>
      </c>
      <c r="D6" s="25" t="inlineStr">
        <is>
          <t>Só números: o formato mostra 000.000.000-00.</t>
        </is>
      </c>
    </row>
    <row r="7" ht="22" customHeight="1">
      <c r="A7" s="7">
        <f>HYPERLINK("#Notas!B2","NOTAS")</f>
        <v/>
      </c>
      <c r="B7" s="20" t="inlineStr">
        <is>
          <t>Data de nascimento</t>
        </is>
      </c>
      <c r="C7" s="27">
        <f>DATE(1985,5,12)</f>
        <v/>
      </c>
      <c r="D7" s="25" t="inlineStr">
        <is>
          <t>Usada para conferir idade e previdência.</t>
        </is>
      </c>
    </row>
    <row r="8" ht="22" customHeight="1">
      <c r="A8" s="7">
        <f>HYPERLINK("#Bens!B2","BENS")</f>
        <v/>
      </c>
      <c r="B8" s="20" t="inlineStr">
        <is>
          <t>Estado civil</t>
        </is>
      </c>
      <c r="C8" s="24" t="inlineStr">
        <is>
          <t>Casado(a)</t>
        </is>
      </c>
      <c r="D8" s="25" t="inlineStr">
        <is>
          <t>Ajuda a definir dependentes e bens em comum.</t>
        </is>
      </c>
    </row>
    <row r="9" ht="22" customHeight="1">
      <c r="A9" s="7">
        <f>HYPERLINK("#Resumo!B2","RESUMO")</f>
        <v/>
      </c>
      <c r="B9" s="20" t="inlineStr">
        <is>
          <t>Ocupação principal</t>
        </is>
      </c>
      <c r="C9" s="24" t="inlineStr">
        <is>
          <t>Analista de sistemas</t>
        </is>
      </c>
      <c r="D9" s="25" t="inlineStr">
        <is>
          <t>Ex.: empregado, autônomo, aposentado.</t>
        </is>
      </c>
    </row>
    <row r="10" ht="22" customHeight="1">
      <c r="A10" s="7">
        <f>HYPERLINK("#Auxiliar!B2","AUXILIAR")</f>
        <v/>
      </c>
      <c r="B10" s="20" t="inlineStr">
        <is>
          <t>E-mail</t>
        </is>
      </c>
      <c r="C10" s="24" t="inlineStr">
        <is>
          <t>joao.almeida@email.com</t>
        </is>
      </c>
      <c r="D10" s="25" t="inlineStr">
        <is>
          <t>O mesmo cadastrado no e-CAC / Receita.</t>
        </is>
      </c>
    </row>
    <row r="11" ht="22" customHeight="1">
      <c r="B11" s="20" t="inlineStr">
        <is>
          <t>Telefone / celular</t>
        </is>
      </c>
      <c r="C11" s="28" t="n">
        <v>6991102030</v>
      </c>
      <c r="D11" s="25" t="inlineStr">
        <is>
          <t>Só números: sai ((69) 91102-030 no formato).</t>
        </is>
      </c>
    </row>
    <row r="12" ht="22" customHeight="1">
      <c r="A12" s="29">
        <f>HYPERLINK("#Menu!B2","«  Menu")</f>
        <v/>
      </c>
      <c r="B12" s="20" t="inlineStr">
        <is>
          <t>Endereço</t>
        </is>
      </c>
      <c r="C12" s="24" t="inlineStr">
        <is>
          <t>Rua das Palmeiras, 245, Apto 302</t>
        </is>
      </c>
      <c r="D12" s="25" t="inlineStr">
        <is>
          <t>Rua, número e complemento.</t>
        </is>
      </c>
    </row>
    <row r="13" ht="22" customHeight="1">
      <c r="A13" s="29">
        <f>HYPERLINK("#Informes!B2","Informes  »")</f>
        <v/>
      </c>
      <c r="B13" s="20" t="inlineStr">
        <is>
          <t>Cidade</t>
        </is>
      </c>
      <c r="C13" s="24" t="inlineStr">
        <is>
          <t>Cacoal</t>
        </is>
      </c>
      <c r="D13" s="25" t="inlineStr">
        <is>
          <t>Cidade onde você mora.</t>
        </is>
      </c>
    </row>
    <row r="14" ht="22" customHeight="1">
      <c r="B14" s="20" t="inlineStr">
        <is>
          <t>UF</t>
        </is>
      </c>
      <c r="C14" s="24" t="inlineStr">
        <is>
          <t>RO</t>
        </is>
      </c>
      <c r="D14" s="25" t="inlineStr">
        <is>
          <t>Lista com as 27 unidades da federação.</t>
        </is>
      </c>
    </row>
    <row r="15" ht="22" customHeight="1">
      <c r="B15" s="20" t="inlineStr">
        <is>
          <t>CEP</t>
        </is>
      </c>
      <c r="C15" s="30" t="n">
        <v>76963000</v>
      </c>
      <c r="D15" s="25" t="inlineStr">
        <is>
          <t>Só números: o formato mostra 00000-000.</t>
        </is>
      </c>
    </row>
    <row r="16" ht="22" customHeight="1">
      <c r="B16" s="20" t="inlineStr">
        <is>
          <t>Tem cônjuge/companheiro(a)?</t>
        </is>
      </c>
      <c r="C16" s="24" t="inlineStr">
        <is>
          <t>Sim</t>
        </is>
      </c>
      <c r="D16" s="25" t="inlineStr">
        <is>
          <t>Se sim, os bens podem ter titulares diferentes.</t>
        </is>
      </c>
    </row>
    <row r="17" ht="22" customHeight="1">
      <c r="B17" s="20" t="inlineStr">
        <is>
          <t>Situação do cadastro</t>
        </is>
      </c>
      <c r="C17" s="31">
        <f>COUNTA($C$5:$C$16)/12</f>
        <v/>
      </c>
      <c r="D17" s="32">
        <f>IF(COUNTA($C$5:$C$16)=12,"✔  Cadastro completo —  12 de 12 campos preenchidos","⚠  "&amp;COUNTA($C$5:$C$16)&amp;" de 12 campos preenchidos")</f>
        <v/>
      </c>
    </row>
    <row r="19" ht="21" customHeight="1">
      <c r="B19" s="6" t="inlineStr">
        <is>
          <t>CHECKLIST — DOCUMENTOS PARA REUNIR ANTES DA DECLARAÇÃO</t>
        </is>
      </c>
    </row>
    <row r="20">
      <c r="B20" s="7" t="inlineStr">
        <is>
          <t>Documento</t>
        </is>
      </c>
      <c r="C20" s="33" t="n"/>
      <c r="D20" s="34" t="n"/>
      <c r="E20" s="7" t="inlineStr">
        <is>
          <t>Situação</t>
        </is>
      </c>
      <c r="F20" s="7" t="inlineStr">
        <is>
          <t>Onde conseguir</t>
        </is>
      </c>
    </row>
    <row r="21" ht="17" customHeight="1">
      <c r="B21" s="35" t="inlineStr">
        <is>
          <t>Informe de rendimentos do empregador</t>
        </is>
      </c>
      <c r="E21" s="36" t="inlineStr">
        <is>
          <t>✓  (separado)</t>
        </is>
      </c>
      <c r="F21" s="37" t="inlineStr">
        <is>
          <t>RH / portal do empregado</t>
        </is>
      </c>
    </row>
    <row r="22" ht="17" customHeight="1">
      <c r="B22" s="35" t="inlineStr">
        <is>
          <t>Informes de bancos e corretora</t>
        </is>
      </c>
      <c r="E22" s="36" t="inlineStr">
        <is>
          <t>✓  (separado)</t>
        </is>
      </c>
      <c r="F22" s="37" t="inlineStr">
        <is>
          <t>App ou agência</t>
        </is>
      </c>
    </row>
    <row r="23" ht="17" customHeight="1">
      <c r="B23" s="35" t="inlineStr">
        <is>
          <t>Recibos de saúde, plano e dentista</t>
        </is>
      </c>
      <c r="E23" s="36" t="inlineStr">
        <is>
          <t>✓  (separado)</t>
        </is>
      </c>
      <c r="F23" s="37" t="inlineStr">
        <is>
          <t>Operadora e clínicas</t>
        </is>
      </c>
    </row>
    <row r="24" ht="17" customHeight="1">
      <c r="B24" s="35" t="inlineStr">
        <is>
          <t>Comprovantes de educação</t>
        </is>
      </c>
      <c r="E24" s="36" t="inlineStr">
        <is>
          <t>—  (falta)</t>
        </is>
      </c>
      <c r="F24" s="37" t="inlineStr">
        <is>
          <t>Escola / faculdade</t>
        </is>
      </c>
    </row>
    <row r="25" ht="17" customHeight="1">
      <c r="B25" s="35" t="inlineStr">
        <is>
          <t>Extrato de previdência privada (PGBL)</t>
        </is>
      </c>
      <c r="E25" s="36" t="inlineStr">
        <is>
          <t>✓  (separado)</t>
        </is>
      </c>
      <c r="F25" s="37" t="inlineStr">
        <is>
          <t>Seguradora</t>
        </is>
      </c>
    </row>
    <row r="26" ht="17" customHeight="1">
      <c r="B26" s="35" t="inlineStr">
        <is>
          <t>Comprovantes de pensão alimentícia</t>
        </is>
      </c>
      <c r="E26" s="36" t="inlineStr">
        <is>
          <t>✓  (separado)</t>
        </is>
      </c>
      <c r="F26" s="37" t="inlineStr">
        <is>
          <t>Recibos / depósitos</t>
        </is>
      </c>
    </row>
    <row r="27" ht="17" customHeight="1">
      <c r="B27" s="35" t="inlineStr">
        <is>
          <t>Extratos de bens e dívidas em 31/12</t>
        </is>
      </c>
      <c r="E27" s="36" t="inlineStr">
        <is>
          <t>✓  (separado)</t>
        </is>
      </c>
      <c r="F27" s="37" t="inlineStr">
        <is>
          <t>Bancos e contratos</t>
        </is>
      </c>
    </row>
    <row r="28" ht="17" customHeight="1">
      <c r="B28" s="35" t="inlineStr">
        <is>
          <t>Comprovante de aluguel recebido</t>
        </is>
      </c>
      <c r="E28" s="36" t="inlineStr">
        <is>
          <t>—  (falta)</t>
        </is>
      </c>
      <c r="F28" s="37" t="inlineStr">
        <is>
          <t>Contrato e recibos</t>
        </is>
      </c>
    </row>
    <row r="29" ht="17" customHeight="1">
      <c r="B29" s="35" t="inlineStr">
        <is>
          <t>Carnê-leão pago (se autônomo)</t>
        </is>
      </c>
      <c r="E29" s="36" t="inlineStr">
        <is>
          <t>—  (falta)</t>
        </is>
      </c>
      <c r="F29" s="37" t="inlineStr">
        <is>
          <t>DARF / e-CAC</t>
        </is>
      </c>
    </row>
    <row r="30" ht="17" customHeight="1">
      <c r="B30" s="35" t="inlineStr">
        <is>
          <t>Cópia da última declaração</t>
        </is>
      </c>
      <c r="E30" s="36" t="inlineStr">
        <is>
          <t>✓  (separado)</t>
        </is>
      </c>
      <c r="F30" s="37" t="inlineStr">
        <is>
          <t>e-CAC</t>
        </is>
      </c>
    </row>
    <row r="31" ht="22" customHeight="1">
      <c r="B31" s="20" t="inlineStr">
        <is>
          <t>Documentos separados</t>
        </is>
      </c>
      <c r="C31" s="31">
        <f>COUNTIF($E$21:$E$30,"✓  (separado)")/10</f>
        <v/>
      </c>
      <c r="D31" s="38">
        <f>COUNTIF($E$21:$E$30,"✓  (separado)")&amp;" de 10 documentos separados"</f>
        <v/>
      </c>
    </row>
    <row r="33" ht="21" customHeight="1">
      <c r="B33" s="6" t="inlineStr">
        <is>
          <t>DEPENDENTES (até 4) — o nº de dependentes entra no cálculo da dedução</t>
        </is>
      </c>
    </row>
    <row r="34">
      <c r="B34" s="7" t="inlineStr">
        <is>
          <t>Nome</t>
        </is>
      </c>
      <c r="C34" s="7" t="inlineStr">
        <is>
          <t>CPF</t>
        </is>
      </c>
      <c r="D34" s="7" t="inlineStr">
        <is>
          <t>Data de nascimento</t>
        </is>
      </c>
      <c r="E34" s="7" t="inlineStr">
        <is>
          <t>Parentesco</t>
        </is>
      </c>
      <c r="F34" s="7" t="inlineStr">
        <is>
          <t>Observação</t>
        </is>
      </c>
    </row>
    <row r="35" ht="18" customHeight="1">
      <c r="B35" s="24" t="inlineStr">
        <is>
          <t>Maria Clara Almeida</t>
        </is>
      </c>
      <c r="C35" s="39" t="n">
        <v>11122233344</v>
      </c>
      <c r="D35" s="40">
        <f>DATE(2016,3,10)</f>
        <v/>
      </c>
      <c r="E35" s="41" t="inlineStr">
        <is>
          <t>Filho(a)</t>
        </is>
      </c>
      <c r="F35" s="24" t="inlineStr">
        <is>
          <t>Estuda (educação conta no limite dela)</t>
        </is>
      </c>
    </row>
    <row r="36" ht="18" customHeight="1">
      <c r="B36" s="24" t="inlineStr"/>
      <c r="C36" s="39" t="n"/>
      <c r="D36" s="40" t="n"/>
      <c r="E36" s="41" t="n"/>
      <c r="F36" s="24" t="inlineStr"/>
    </row>
    <row r="37" ht="18" customHeight="1">
      <c r="B37" s="24" t="inlineStr"/>
      <c r="C37" s="39" t="n"/>
      <c r="D37" s="40" t="n"/>
      <c r="E37" s="41" t="n"/>
      <c r="F37" s="24" t="inlineStr"/>
    </row>
    <row r="38" ht="18" customHeight="1">
      <c r="B38" s="24" t="inlineStr"/>
      <c r="C38" s="39" t="n"/>
      <c r="D38" s="40" t="n"/>
      <c r="E38" s="41" t="n"/>
      <c r="F38" s="24" t="inlineStr"/>
    </row>
    <row r="39" ht="20" customHeight="1">
      <c r="B39" s="20" t="inlineStr">
        <is>
          <t>Total de dependentes →</t>
        </is>
      </c>
      <c r="C39" s="42">
        <f>COUNTA($B$35:$B$38)</f>
        <v/>
      </c>
      <c r="D39" s="43" t="inlineStr">
        <is>
          <t>Este número multiplica o valor por dependente no Resumo.</t>
        </is>
      </c>
    </row>
  </sheetData>
  <mergeCells count="17">
    <mergeCell ref="B28:D28"/>
    <mergeCell ref="B23:D23"/>
    <mergeCell ref="E2:F2"/>
    <mergeCell ref="B22:D22"/>
    <mergeCell ref="B33:F33"/>
    <mergeCell ref="D4:F4"/>
    <mergeCell ref="B3:F3"/>
    <mergeCell ref="B19:F19"/>
    <mergeCell ref="B26:D26"/>
    <mergeCell ref="B27:D27"/>
    <mergeCell ref="B21:D21"/>
    <mergeCell ref="B30:D30"/>
    <mergeCell ref="B29:D29"/>
    <mergeCell ref="B25:D25"/>
    <mergeCell ref="B24:D24"/>
    <mergeCell ref="B2:D2"/>
    <mergeCell ref="B20:D20"/>
  </mergeCells>
  <conditionalFormatting sqref="C17">
    <cfRule type="dataBar" priority="1">
      <dataBar showValue="1">
        <cfvo type="num" val="0"/>
        <cfvo type="num" val="1"/>
        <color rgb="001E7F53"/>
      </dataBar>
    </cfRule>
  </conditionalFormatting>
  <conditionalFormatting sqref="C31">
    <cfRule type="dataBar" priority="2">
      <dataBar showValue="1">
        <cfvo type="num" val="0"/>
        <cfvo type="num" val="1"/>
        <color rgb="002E8BC0"/>
      </dataBar>
    </cfRule>
  </conditionalFormatting>
  <dataValidations count="5">
    <dataValidation sqref="C8" showDropDown="0" showInputMessage="0" showErrorMessage="1" allowBlank="1" errorTitle="Valor inválido" error="Escolha um estado civil da lista." type="list">
      <formula1>=ListaEstadoCivil</formula1>
    </dataValidation>
    <dataValidation sqref="C14" showDropDown="0" showInputMessage="0" showErrorMessage="1" allowBlank="1" errorTitle="UF inválida" error="Escolha uma UF da lista." type="list">
      <formula1>=ListaUF</formula1>
    </dataValidation>
    <dataValidation sqref="C16" showDropDown="0" showInputMessage="0" showErrorMessage="1" allowBlank="1" errorTitle="Valor inválido" error="Escolha Sim ou Não." type="list">
      <formula1>=ListaSimNao</formula1>
    </dataValidation>
    <dataValidation sqref="E21:E30" showDropDown="0" showInputMessage="0" showErrorMessage="1" allowBlank="1" errorTitle="Situação inválida" error="Escolha “✓  (separado)” ou “—  (falta)”." type="list">
      <formula1>=ListaChecklist</formula1>
    </dataValidation>
    <dataValidation sqref="E35:E38" showDropDown="0" showInputMessage="0" showErrorMessage="1" allowBlank="1" errorTitle="Valor inválido" error="Escolha um parentesco da lista." type="list">
      <formula1>=ListaParentesco</formula1>
    </dataValidation>
  </dataValidations>
  <printOptions horizontalCentered="1"/>
  <pageMargins left="0.35" right="0.35" top="0.45" bottom="0.45" header="0.5" footer="0.5"/>
  <pageSetup orientation="portrait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8BC0"/>
    <outlinePr summaryBelow="1" summaryRight="1"/>
    <pageSetUpPr fitToPage="1"/>
  </sheetPr>
  <dimension ref="A2:N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20" customWidth="1" min="3" max="3"/>
    <col width="24" customWidth="1" min="4" max="4"/>
    <col width="19" customWidth="1" min="5" max="5"/>
    <col width="16" customWidth="1" min="6" max="6"/>
    <col width="15" customWidth="1" min="7" max="7"/>
    <col width="16" customWidth="1" min="8" max="8"/>
    <col width="13" customWidth="1" min="9" max="9"/>
    <col width="22" customWidth="1" min="10" max="10"/>
    <col width="26" customWidth="1" min="11" max="11"/>
    <col width="2" customWidth="1" min="12" max="12"/>
    <col width="26" customWidth="1" min="13" max="13"/>
    <col width="18" customWidth="1" min="14" max="14"/>
  </cols>
  <sheetData>
    <row r="2" ht="30" customHeight="1">
      <c r="B2" s="17">
        <f>"INFORMES DE RENDIMENTOS — ANO-CALENDÁRIO "&amp;AnoCalendario</f>
        <v/>
      </c>
      <c r="H2" s="11">
        <f>VoltarAoMenu</f>
        <v/>
      </c>
    </row>
    <row r="3">
      <c r="A3" s="18" t="inlineStr">
        <is>
          <t>N A V E G A Ç Ã O</t>
        </is>
      </c>
      <c r="B3" s="19" t="inlineStr">
        <is>
          <t>Cadastre uma linha por fonte pagadora, copiando os valores do informe. A coluna Tributação alimenta o Resumo (SOMASE); marque a Situação e registre o arquivo do informe.</t>
        </is>
      </c>
    </row>
    <row r="4" ht="21" customHeight="1">
      <c r="A4" s="7">
        <f>VoltarAoMenu</f>
        <v/>
      </c>
      <c r="B4" s="44" t="inlineStr">
        <is>
          <t>Fonte pagadora</t>
        </is>
      </c>
      <c r="C4" s="44" t="inlineStr">
        <is>
          <t>CNPJ</t>
        </is>
      </c>
      <c r="D4" s="44" t="inlineStr">
        <is>
          <t>Tipo de rendimento</t>
        </is>
      </c>
      <c r="E4" s="44" t="inlineStr">
        <is>
          <t>Tributação</t>
        </is>
      </c>
      <c r="F4" s="44" t="inlineStr">
        <is>
          <t>Valor recebido (R$)</t>
        </is>
      </c>
      <c r="G4" s="44" t="inlineStr">
        <is>
          <t>IRRF retido (R$)</t>
        </is>
      </c>
      <c r="H4" s="44" t="inlineStr">
        <is>
          <t>Previdência oficial (R$)</t>
        </is>
      </c>
      <c r="I4" s="44" t="inlineStr">
        <is>
          <t>Situação</t>
        </is>
      </c>
      <c r="J4" s="44" t="inlineStr">
        <is>
          <t>Informe (arquivo)</t>
        </is>
      </c>
      <c r="K4" s="44" t="inlineStr">
        <is>
          <t>Observações</t>
        </is>
      </c>
      <c r="M4" s="6" t="inlineStr">
        <is>
          <t>RESUMO RÁPIDO</t>
        </is>
      </c>
    </row>
    <row r="5" ht="18" customHeight="1">
      <c r="A5" s="7">
        <f>HYPERLINK("#Titular!B2","TITULAR")</f>
        <v/>
      </c>
      <c r="B5" s="24" t="inlineStr">
        <is>
          <t>Banco Santander S.A.</t>
        </is>
      </c>
      <c r="C5" s="45" t="n">
        <v>90400888000142</v>
      </c>
      <c r="D5" s="41" t="inlineStr">
        <is>
          <t>Salário</t>
        </is>
      </c>
      <c r="E5" s="41" t="inlineStr">
        <is>
          <t>Tributável</t>
        </is>
      </c>
      <c r="F5" s="46" t="n">
        <v>78000</v>
      </c>
      <c r="G5" s="46" t="n">
        <v>9400</v>
      </c>
      <c r="H5" s="46" t="n">
        <v>8580</v>
      </c>
      <c r="I5" s="41" t="inlineStr">
        <is>
          <t>OK</t>
        </is>
      </c>
      <c r="J5" s="24" t="inlineStr">
        <is>
          <t>informe_santander_2025.pdf</t>
        </is>
      </c>
      <c r="K5" s="24" t="inlineStr">
        <is>
          <t>Informe anual do empregador</t>
        </is>
      </c>
      <c r="M5" s="47" t="inlineStr">
        <is>
          <t>Rendimentos tributáveis</t>
        </is>
      </c>
      <c r="N5" s="48">
        <f>SUMIF(Tributacoes,"Tributável",ValoresInformes)</f>
        <v/>
      </c>
    </row>
    <row r="6" ht="18" customHeight="1">
      <c r="A6" s="23">
        <f>HYPERLINK("#Informes!B2","INFORMES")</f>
        <v/>
      </c>
      <c r="B6" s="24" t="inlineStr">
        <is>
          <t>Saraiva Consultoria ME</t>
        </is>
      </c>
      <c r="C6" s="45" t="n">
        <v>12345678000199</v>
      </c>
      <c r="D6" s="41" t="inlineStr">
        <is>
          <t>Autônomo / RPA</t>
        </is>
      </c>
      <c r="E6" s="41" t="inlineStr">
        <is>
          <t>Tributável</t>
        </is>
      </c>
      <c r="F6" s="46" t="n">
        <v>24000</v>
      </c>
      <c r="G6" s="46" t="n">
        <v>2100</v>
      </c>
      <c r="H6" s="46" t="n">
        <v>0</v>
      </c>
      <c r="I6" s="41" t="inlineStr">
        <is>
          <t>OK</t>
        </is>
      </c>
      <c r="J6" s="24" t="inlineStr">
        <is>
          <t>informes_saraiva_2025.pdf</t>
        </is>
      </c>
      <c r="K6" s="24" t="inlineStr">
        <is>
          <t>Recibos + carnê-leão pago</t>
        </is>
      </c>
      <c r="M6" s="47" t="inlineStr">
        <is>
          <t>Rendimentos isentos</t>
        </is>
      </c>
      <c r="N6" s="48">
        <f>SUMIF(Tributacoes,"Isento",ValoresInformes)</f>
        <v/>
      </c>
    </row>
    <row r="7" ht="18" customHeight="1">
      <c r="A7" s="7">
        <f>HYPERLINK("#Notas!B2","NOTAS")</f>
        <v/>
      </c>
      <c r="B7" s="24" t="inlineStr">
        <is>
          <t>Imobiliária Cacoal Ltda</t>
        </is>
      </c>
      <c r="C7" s="45" t="n">
        <v>98765432000133</v>
      </c>
      <c r="D7" s="41" t="inlineStr">
        <is>
          <t>Aluguel recebido</t>
        </is>
      </c>
      <c r="E7" s="41" t="inlineStr">
        <is>
          <t>Tributável</t>
        </is>
      </c>
      <c r="F7" s="46" t="n">
        <v>18000</v>
      </c>
      <c r="G7" s="46" t="n">
        <v>0</v>
      </c>
      <c r="H7" s="46" t="n">
        <v>0</v>
      </c>
      <c r="I7" s="41" t="inlineStr">
        <is>
          <t>Informada</t>
        </is>
      </c>
      <c r="J7" s="24" t="inlineStr">
        <is>
          <t>contrato_locacao_cacoal.pdf</t>
        </is>
      </c>
      <c r="K7" s="24" t="inlineStr">
        <is>
          <t>Contrato de locação</t>
        </is>
      </c>
      <c r="M7" s="47" t="inlineStr">
        <is>
          <t>Tributação exclusiva</t>
        </is>
      </c>
      <c r="N7" s="48">
        <f>SUMIF(Tributacoes,"Exclusiva na fonte",ValoresInformes)</f>
        <v/>
      </c>
    </row>
    <row r="8" ht="18" customHeight="1">
      <c r="A8" s="7">
        <f>HYPERLINK("#Bens!B2","BENS")</f>
        <v/>
      </c>
      <c r="B8" s="24" t="inlineStr">
        <is>
          <t>Corretora XP Investimentos</t>
        </is>
      </c>
      <c r="C8" s="45" t="inlineStr">
        <is>
          <t>02332886000104</t>
        </is>
      </c>
      <c r="D8" s="41" t="inlineStr">
        <is>
          <t>Dividendos / Lucros</t>
        </is>
      </c>
      <c r="E8" s="41" t="inlineStr">
        <is>
          <t>Isento</t>
        </is>
      </c>
      <c r="F8" s="46" t="n">
        <v>6500</v>
      </c>
      <c r="G8" s="46" t="n">
        <v>0</v>
      </c>
      <c r="H8" s="46" t="n">
        <v>0</v>
      </c>
      <c r="I8" s="41" t="inlineStr">
        <is>
          <t>OK</t>
        </is>
      </c>
      <c r="J8" s="24" t="inlineStr">
        <is>
          <t>informe_xp_2025.pdf</t>
        </is>
      </c>
      <c r="K8" s="24" t="inlineStr">
        <is>
          <t>FIIs e ações — informe da corretora</t>
        </is>
      </c>
      <c r="M8" s="47" t="inlineStr">
        <is>
          <t>Total dos rendimentos</t>
        </is>
      </c>
      <c r="N8" s="48">
        <f>SUM($N$5:$N$7)</f>
        <v/>
      </c>
    </row>
    <row r="9" ht="18" customHeight="1">
      <c r="A9" s="7">
        <f>HYPERLINK("#Resumo!B2","RESUMO")</f>
        <v/>
      </c>
      <c r="B9" s="24" t="inlineStr">
        <is>
          <t>Banco Santander S.A.</t>
        </is>
      </c>
      <c r="C9" s="45" t="n">
        <v>90400888000142</v>
      </c>
      <c r="D9" s="41" t="inlineStr">
        <is>
          <t>Salário</t>
        </is>
      </c>
      <c r="E9" s="41" t="inlineStr">
        <is>
          <t>Exclusiva na fonte</t>
        </is>
      </c>
      <c r="F9" s="46" t="n">
        <v>6500</v>
      </c>
      <c r="G9" s="46" t="n">
        <v>0</v>
      </c>
      <c r="H9" s="46" t="n">
        <v>0</v>
      </c>
      <c r="I9" s="41" t="inlineStr">
        <is>
          <t>Verificar</t>
        </is>
      </c>
      <c r="J9" s="24" t="inlineStr">
        <is>
          <t>13o_santander_falta_baixar.pdf</t>
        </is>
      </c>
      <c r="K9" s="24" t="inlineStr">
        <is>
          <t>13º salário — conferir documento</t>
        </is>
      </c>
      <c r="M9" s="47" t="inlineStr">
        <is>
          <t>IRRF retido (todos)</t>
        </is>
      </c>
      <c r="N9" s="48">
        <f>SUM(IRRFInformes)</f>
        <v/>
      </c>
    </row>
    <row r="10" ht="18" customHeight="1">
      <c r="A10" s="7">
        <f>HYPERLINK("#Auxiliar!B2","AUXILIAR")</f>
        <v/>
      </c>
      <c r="B10" s="24" t="inlineStr"/>
      <c r="C10" s="45" t="n"/>
      <c r="D10" s="41" t="n"/>
      <c r="E10" s="41" t="n"/>
      <c r="F10" s="46" t="n"/>
      <c r="G10" s="46" t="n"/>
      <c r="H10" s="46" t="n"/>
      <c r="I10" s="41" t="n"/>
      <c r="J10" s="24" t="n"/>
      <c r="K10" s="24" t="inlineStr"/>
      <c r="M10" s="47" t="inlineStr">
        <is>
          <t>Previdência oficial paga</t>
        </is>
      </c>
      <c r="N10" s="48">
        <f>SUM(PrevidenciaInformes)</f>
        <v/>
      </c>
    </row>
    <row r="11" ht="18" customHeight="1">
      <c r="B11" s="24" t="inlineStr"/>
      <c r="C11" s="45" t="n"/>
      <c r="D11" s="41" t="n"/>
      <c r="E11" s="41" t="n"/>
      <c r="F11" s="46" t="n"/>
      <c r="G11" s="46" t="n"/>
      <c r="H11" s="46" t="n"/>
      <c r="I11" s="41" t="n"/>
      <c r="J11" s="24" t="n"/>
      <c r="K11" s="24" t="inlineStr"/>
      <c r="M11" s="47" t="inlineStr">
        <is>
          <t>Pendências (Verificar)</t>
        </is>
      </c>
      <c r="N11" s="49">
        <f>COUNTIF(SituacoesInformes,"Verificar")</f>
        <v/>
      </c>
    </row>
    <row r="12" ht="17" customHeight="1">
      <c r="A12" s="29">
        <f>HYPERLINK("#Titular!B2","«  Titular")</f>
        <v/>
      </c>
      <c r="B12" s="24" t="inlineStr"/>
      <c r="C12" s="45" t="n"/>
      <c r="D12" s="41" t="n"/>
      <c r="E12" s="41" t="n"/>
      <c r="F12" s="46" t="n"/>
      <c r="G12" s="46" t="n"/>
      <c r="H12" s="46" t="n"/>
      <c r="I12" s="41" t="n"/>
      <c r="J12" s="24" t="n"/>
      <c r="K12" s="24" t="inlineStr"/>
    </row>
    <row r="13" ht="17" customHeight="1">
      <c r="A13" s="29">
        <f>HYPERLINK("#Notas!B2","Notas  »")</f>
        <v/>
      </c>
      <c r="B13" s="24" t="inlineStr"/>
      <c r="C13" s="45" t="n"/>
      <c r="D13" s="41" t="n"/>
      <c r="E13" s="41" t="n"/>
      <c r="F13" s="46" t="n"/>
      <c r="G13" s="46" t="n"/>
      <c r="H13" s="46" t="n"/>
      <c r="I13" s="41" t="n"/>
      <c r="J13" s="24" t="n"/>
      <c r="K13" s="24" t="inlineStr"/>
    </row>
    <row r="14" ht="17" customHeight="1">
      <c r="B14" s="24" t="inlineStr"/>
      <c r="C14" s="45" t="n"/>
      <c r="D14" s="41" t="n"/>
      <c r="E14" s="41" t="n"/>
      <c r="F14" s="46" t="n"/>
      <c r="G14" s="46" t="n"/>
      <c r="H14" s="46" t="n"/>
      <c r="I14" s="41" t="n"/>
      <c r="J14" s="24" t="n"/>
      <c r="K14" s="24" t="inlineStr"/>
    </row>
    <row r="15" ht="17" customHeight="1">
      <c r="B15" s="24" t="inlineStr"/>
      <c r="C15" s="45" t="n"/>
      <c r="D15" s="41" t="n"/>
      <c r="E15" s="41" t="n"/>
      <c r="F15" s="46" t="n"/>
      <c r="G15" s="46" t="n"/>
      <c r="H15" s="46" t="n"/>
      <c r="I15" s="41" t="n"/>
      <c r="J15" s="24" t="n"/>
      <c r="K15" s="24" t="inlineStr"/>
    </row>
    <row r="16" ht="17" customHeight="1">
      <c r="B16" s="24" t="inlineStr"/>
      <c r="C16" s="45" t="n"/>
      <c r="D16" s="41" t="n"/>
      <c r="E16" s="41" t="n"/>
      <c r="F16" s="46" t="n"/>
      <c r="G16" s="46" t="n"/>
      <c r="H16" s="46" t="n"/>
      <c r="I16" s="41" t="n"/>
      <c r="J16" s="24" t="n"/>
      <c r="K16" s="24" t="inlineStr"/>
    </row>
    <row r="17" ht="17" customHeight="1">
      <c r="B17" s="24" t="inlineStr"/>
      <c r="C17" s="45" t="n"/>
      <c r="D17" s="41" t="n"/>
      <c r="E17" s="41" t="n"/>
      <c r="F17" s="46" t="n"/>
      <c r="G17" s="46" t="n"/>
      <c r="H17" s="46" t="n"/>
      <c r="I17" s="41" t="n"/>
      <c r="J17" s="24" t="n"/>
      <c r="K17" s="24" t="inlineStr"/>
    </row>
    <row r="18" ht="17" customHeight="1">
      <c r="B18" s="24" t="inlineStr"/>
      <c r="C18" s="45" t="n"/>
      <c r="D18" s="41" t="n"/>
      <c r="E18" s="41" t="n"/>
      <c r="F18" s="46" t="n"/>
      <c r="G18" s="46" t="n"/>
      <c r="H18" s="46" t="n"/>
      <c r="I18" s="41" t="n"/>
      <c r="J18" s="24" t="n"/>
      <c r="K18" s="24" t="inlineStr"/>
    </row>
    <row r="19" ht="17" customHeight="1">
      <c r="B19" s="24" t="inlineStr"/>
      <c r="C19" s="45" t="n"/>
      <c r="D19" s="41" t="n"/>
      <c r="E19" s="41" t="n"/>
      <c r="F19" s="46" t="n"/>
      <c r="G19" s="46" t="n"/>
      <c r="H19" s="46" t="n"/>
      <c r="I19" s="41" t="n"/>
      <c r="J19" s="24" t="n"/>
      <c r="K19" s="24" t="inlineStr"/>
    </row>
    <row r="20" ht="17" customHeight="1">
      <c r="B20" s="24" t="inlineStr"/>
      <c r="C20" s="45" t="n"/>
      <c r="D20" s="41" t="n"/>
      <c r="E20" s="41" t="n"/>
      <c r="F20" s="46" t="n"/>
      <c r="G20" s="46" t="n"/>
      <c r="H20" s="46" t="n"/>
      <c r="I20" s="41" t="n"/>
      <c r="J20" s="24" t="n"/>
      <c r="K20" s="24" t="inlineStr"/>
    </row>
    <row r="21" ht="17" customHeight="1">
      <c r="B21" s="24" t="inlineStr"/>
      <c r="C21" s="45" t="n"/>
      <c r="D21" s="41" t="n"/>
      <c r="E21" s="41" t="n"/>
      <c r="F21" s="46" t="n"/>
      <c r="G21" s="46" t="n"/>
      <c r="H21" s="46" t="n"/>
      <c r="I21" s="41" t="n"/>
      <c r="J21" s="24" t="n"/>
      <c r="K21" s="24" t="inlineStr"/>
    </row>
    <row r="22" ht="17" customHeight="1">
      <c r="B22" s="24" t="inlineStr"/>
      <c r="C22" s="45" t="n"/>
      <c r="D22" s="41" t="n"/>
      <c r="E22" s="41" t="n"/>
      <c r="F22" s="46" t="n"/>
      <c r="G22" s="46" t="n"/>
      <c r="H22" s="46" t="n"/>
      <c r="I22" s="41" t="n"/>
      <c r="J22" s="24" t="n"/>
      <c r="K22" s="24" t="inlineStr"/>
    </row>
    <row r="23" ht="17" customHeight="1">
      <c r="B23" s="24" t="inlineStr"/>
      <c r="C23" s="45" t="n"/>
      <c r="D23" s="41" t="n"/>
      <c r="E23" s="41" t="n"/>
      <c r="F23" s="46" t="n"/>
      <c r="G23" s="46" t="n"/>
      <c r="H23" s="46" t="n"/>
      <c r="I23" s="41" t="n"/>
      <c r="J23" s="24" t="n"/>
      <c r="K23" s="24" t="inlineStr"/>
    </row>
    <row r="24" ht="17" customHeight="1">
      <c r="B24" s="24" t="inlineStr"/>
      <c r="C24" s="45" t="n"/>
      <c r="D24" s="41" t="n"/>
      <c r="E24" s="41" t="n"/>
      <c r="F24" s="46" t="n"/>
      <c r="G24" s="46" t="n"/>
      <c r="H24" s="46" t="n"/>
      <c r="I24" s="41" t="n"/>
      <c r="J24" s="24" t="n"/>
      <c r="K24" s="24" t="inlineStr"/>
    </row>
    <row r="25" ht="17" customHeight="1">
      <c r="B25" s="24" t="inlineStr"/>
      <c r="C25" s="45" t="n"/>
      <c r="D25" s="41" t="n"/>
      <c r="E25" s="41" t="n"/>
      <c r="F25" s="46" t="n"/>
      <c r="G25" s="46" t="n"/>
      <c r="H25" s="46" t="n"/>
      <c r="I25" s="41" t="n"/>
      <c r="J25" s="24" t="n"/>
      <c r="K25" s="24" t="inlineStr"/>
    </row>
    <row r="26" ht="17" customHeight="1">
      <c r="B26" s="24" t="inlineStr"/>
      <c r="C26" s="45" t="n"/>
      <c r="D26" s="41" t="n"/>
      <c r="E26" s="41" t="n"/>
      <c r="F26" s="46" t="n"/>
      <c r="G26" s="46" t="n"/>
      <c r="H26" s="46" t="n"/>
      <c r="I26" s="41" t="n"/>
      <c r="J26" s="24" t="n"/>
      <c r="K26" s="24" t="inlineStr"/>
    </row>
    <row r="27" ht="17" customHeight="1">
      <c r="B27" s="24" t="inlineStr"/>
      <c r="C27" s="45" t="n"/>
      <c r="D27" s="41" t="n"/>
      <c r="E27" s="41" t="n"/>
      <c r="F27" s="46" t="n"/>
      <c r="G27" s="46" t="n"/>
      <c r="H27" s="46" t="n"/>
      <c r="I27" s="41" t="n"/>
      <c r="J27" s="24" t="n"/>
      <c r="K27" s="24" t="inlineStr"/>
    </row>
    <row r="28" ht="17" customHeight="1">
      <c r="B28" s="24" t="inlineStr"/>
      <c r="C28" s="45" t="n"/>
      <c r="D28" s="41" t="n"/>
      <c r="E28" s="41" t="n"/>
      <c r="F28" s="46" t="n"/>
      <c r="G28" s="46" t="n"/>
      <c r="H28" s="46" t="n"/>
      <c r="I28" s="41" t="n"/>
      <c r="J28" s="24" t="n"/>
      <c r="K28" s="24" t="inlineStr"/>
    </row>
    <row r="29" ht="17" customHeight="1">
      <c r="B29" s="24" t="inlineStr"/>
      <c r="C29" s="45" t="n"/>
      <c r="D29" s="41" t="n"/>
      <c r="E29" s="41" t="n"/>
      <c r="F29" s="46" t="n"/>
      <c r="G29" s="46" t="n"/>
      <c r="H29" s="46" t="n"/>
      <c r="I29" s="41" t="n"/>
      <c r="J29" s="24" t="n"/>
      <c r="K29" s="24" t="inlineStr"/>
    </row>
    <row r="30" ht="17" customHeight="1">
      <c r="B30" s="24" t="inlineStr"/>
      <c r="C30" s="45" t="n"/>
      <c r="D30" s="41" t="n"/>
      <c r="E30" s="41" t="n"/>
      <c r="F30" s="46" t="n"/>
      <c r="G30" s="46" t="n"/>
      <c r="H30" s="46" t="n"/>
      <c r="I30" s="41" t="n"/>
      <c r="J30" s="24" t="n"/>
      <c r="K30" s="24" t="inlineStr"/>
    </row>
    <row r="31" ht="17" customHeight="1">
      <c r="B31" s="24" t="inlineStr"/>
      <c r="C31" s="45" t="n"/>
      <c r="D31" s="41" t="n"/>
      <c r="E31" s="41" t="n"/>
      <c r="F31" s="46" t="n"/>
      <c r="G31" s="46" t="n"/>
      <c r="H31" s="46" t="n"/>
      <c r="I31" s="41" t="n"/>
      <c r="J31" s="24" t="n"/>
      <c r="K31" s="24" t="inlineStr"/>
    </row>
    <row r="32" ht="17" customHeight="1">
      <c r="B32" s="24" t="inlineStr"/>
      <c r="C32" s="45" t="n"/>
      <c r="D32" s="41" t="n"/>
      <c r="E32" s="41" t="n"/>
      <c r="F32" s="46" t="n"/>
      <c r="G32" s="46" t="n"/>
      <c r="H32" s="46" t="n"/>
      <c r="I32" s="41" t="n"/>
      <c r="J32" s="24" t="n"/>
      <c r="K32" s="24" t="inlineStr"/>
    </row>
    <row r="33" ht="17" customHeight="1">
      <c r="B33" s="24" t="inlineStr"/>
      <c r="C33" s="45" t="n"/>
      <c r="D33" s="41" t="n"/>
      <c r="E33" s="41" t="n"/>
      <c r="F33" s="46" t="n"/>
      <c r="G33" s="46" t="n"/>
      <c r="H33" s="46" t="n"/>
      <c r="I33" s="41" t="n"/>
      <c r="J33" s="24" t="n"/>
      <c r="K33" s="24" t="inlineStr"/>
    </row>
    <row r="34" ht="17" customHeight="1">
      <c r="B34" s="24" t="inlineStr"/>
      <c r="C34" s="45" t="n"/>
      <c r="D34" s="41" t="n"/>
      <c r="E34" s="41" t="n"/>
      <c r="F34" s="46" t="n"/>
      <c r="G34" s="46" t="n"/>
      <c r="H34" s="46" t="n"/>
      <c r="I34" s="41" t="n"/>
      <c r="J34" s="24" t="n"/>
      <c r="K34" s="24" t="inlineStr"/>
    </row>
    <row r="35" ht="17" customHeight="1">
      <c r="B35" s="24" t="inlineStr"/>
      <c r="C35" s="45" t="n"/>
      <c r="D35" s="41" t="n"/>
      <c r="E35" s="41" t="n"/>
      <c r="F35" s="46" t="n"/>
      <c r="G35" s="46" t="n"/>
      <c r="H35" s="46" t="n"/>
      <c r="I35" s="41" t="n"/>
      <c r="J35" s="24" t="n"/>
      <c r="K35" s="24" t="inlineStr"/>
    </row>
    <row r="36" ht="17" customHeight="1">
      <c r="B36" s="24" t="inlineStr"/>
      <c r="C36" s="45" t="n"/>
      <c r="D36" s="41" t="n"/>
      <c r="E36" s="41" t="n"/>
      <c r="F36" s="46" t="n"/>
      <c r="G36" s="46" t="n"/>
      <c r="H36" s="46" t="n"/>
      <c r="I36" s="41" t="n"/>
      <c r="J36" s="24" t="n"/>
      <c r="K36" s="24" t="inlineStr"/>
    </row>
    <row r="37" ht="17" customHeight="1">
      <c r="B37" s="24" t="inlineStr"/>
      <c r="C37" s="45" t="n"/>
      <c r="D37" s="41" t="n"/>
      <c r="E37" s="41" t="n"/>
      <c r="F37" s="46" t="n"/>
      <c r="G37" s="46" t="n"/>
      <c r="H37" s="46" t="n"/>
      <c r="I37" s="41" t="n"/>
      <c r="J37" s="24" t="n"/>
      <c r="K37" s="24" t="inlineStr"/>
    </row>
    <row r="38" ht="17" customHeight="1">
      <c r="B38" s="24" t="inlineStr"/>
      <c r="C38" s="45" t="n"/>
      <c r="D38" s="41" t="n"/>
      <c r="E38" s="41" t="n"/>
      <c r="F38" s="46" t="n"/>
      <c r="G38" s="46" t="n"/>
      <c r="H38" s="46" t="n"/>
      <c r="I38" s="41" t="n"/>
      <c r="J38" s="24" t="n"/>
      <c r="K38" s="24" t="inlineStr"/>
    </row>
    <row r="39" ht="17" customHeight="1">
      <c r="B39" s="24" t="inlineStr"/>
      <c r="C39" s="45" t="n"/>
      <c r="D39" s="41" t="n"/>
      <c r="E39" s="41" t="n"/>
      <c r="F39" s="46" t="n"/>
      <c r="G39" s="46" t="n"/>
      <c r="H39" s="46" t="n"/>
      <c r="I39" s="41" t="n"/>
      <c r="J39" s="24" t="n"/>
      <c r="K39" s="24" t="inlineStr"/>
    </row>
    <row r="40" ht="17" customHeight="1">
      <c r="B40" s="24" t="inlineStr"/>
      <c r="C40" s="45" t="n"/>
      <c r="D40" s="41" t="n"/>
      <c r="E40" s="41" t="n"/>
      <c r="F40" s="46" t="n"/>
      <c r="G40" s="46" t="n"/>
      <c r="H40" s="46" t="n"/>
      <c r="I40" s="41" t="n"/>
      <c r="J40" s="24" t="n"/>
      <c r="K40" s="24" t="inlineStr"/>
    </row>
    <row r="41" ht="20" customHeight="1">
      <c r="B41" s="50" t="inlineStr">
        <is>
          <t>TOTAIS →</t>
        </is>
      </c>
      <c r="C41" s="33" t="n"/>
      <c r="D41" s="33" t="n"/>
      <c r="E41" s="34" t="n"/>
      <c r="F41" s="51">
        <f>SUM(F5:F40)</f>
        <v/>
      </c>
      <c r="G41" s="51">
        <f>SUM(G5:G40)</f>
        <v/>
      </c>
      <c r="H41" s="51">
        <f>SUM(H5:H40)</f>
        <v/>
      </c>
      <c r="I41" s="52">
        <f>COUNTIF(I5:I40,"Verificar")&amp;" a verificar"</f>
        <v/>
      </c>
      <c r="K41" s="43" t="inlineStr">
        <is>
          <t>Confira os informes e marque a Situação de cada linha.</t>
        </is>
      </c>
    </row>
  </sheetData>
  <mergeCells count="5">
    <mergeCell ref="B41:E41"/>
    <mergeCell ref="H2:I2"/>
    <mergeCell ref="B3:I3"/>
    <mergeCell ref="B2:E2"/>
    <mergeCell ref="M4:N4"/>
  </mergeCells>
  <conditionalFormatting sqref="F5:F40">
    <cfRule type="dataBar" priority="1">
      <dataBar showValue="1">
        <cfvo type="num" val="0"/>
        <cfvo type="max"/>
        <color rgb="002E8BC0"/>
      </dataBar>
    </cfRule>
  </conditionalFormatting>
  <conditionalFormatting sqref="E5:E40">
    <cfRule type="expression" priority="2" dxfId="0" stopIfTrue="0">
      <formula>$E5="Isento"</formula>
    </cfRule>
    <cfRule type="expression" priority="3" dxfId="1" stopIfTrue="0">
      <formula>$E5="Exclusiva na fonte"</formula>
    </cfRule>
  </conditionalFormatting>
  <conditionalFormatting sqref="I5:I40">
    <cfRule type="expression" priority="4" dxfId="2" stopIfTrue="0">
      <formula>$I5="Verificar"</formula>
    </cfRule>
    <cfRule type="expression" priority="5" dxfId="3" stopIfTrue="0">
      <formula>$I5="OK"</formula>
    </cfRule>
    <cfRule type="expression" priority="6" dxfId="4" stopIfTrue="0">
      <formula>$I5="Informada"</formula>
    </cfRule>
  </conditionalFormatting>
  <dataValidations count="3">
    <dataValidation sqref="D5:D40" showDropDown="0" showInputMessage="0" showErrorMessage="1" allowBlank="1" errorTitle="Tipo inválido" error="Escolha um tipo de rendimento da lista." type="list">
      <formula1>=ListaTipoRendimento</formula1>
    </dataValidation>
    <dataValidation sqref="E5:E40" showDropDown="0" showInputMessage="0" showErrorMessage="1" allowBlank="1" errorTitle="Tributação inválida" error="Escolha Tributável, Isento ou Exclusiva na fonte." type="list">
      <formula1>=ListaTributacao</formula1>
    </dataValidation>
    <dataValidation sqref="I5:I40" showDropDown="0" showInputMessage="0" showErrorMessage="1" allowBlank="1" errorTitle="Situação inválida" error="Escolha OK, Informada ou Verificar." type="list">
      <formula1>=ListaSituacao</formula1>
    </dataValidation>
  </dataValidations>
  <printOptions horizontalCentered="1"/>
  <pageMargins left="0.35" right="0.35" top="0.45" bottom="0.45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7F53"/>
    <outlinePr summaryBelow="1" summaryRight="1"/>
    <pageSetUpPr fitToPage="1"/>
  </sheetPr>
  <dimension ref="A2:L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20" customWidth="1" min="4" max="4"/>
    <col width="24" customWidth="1" min="5" max="5"/>
    <col width="14" customWidth="1" min="6" max="6"/>
    <col width="18" customWidth="1" min="7" max="7"/>
    <col width="15" customWidth="1" min="8" max="8"/>
    <col width="24" customWidth="1" min="9" max="9"/>
    <col width="2" customWidth="1" min="10" max="10"/>
    <col width="26" customWidth="1" min="11" max="11"/>
    <col width="16" customWidth="1" min="12" max="12"/>
  </cols>
  <sheetData>
    <row r="2" ht="30" customHeight="1">
      <c r="B2" s="17">
        <f>"NOTAS E RECIBOS — DESPESAS DO ANO-CALENDÁRIO "&amp;AnoCalendario</f>
        <v/>
      </c>
      <c r="H2" s="11">
        <f>VoltarAoMenu</f>
        <v/>
      </c>
    </row>
    <row r="3">
      <c r="A3" s="18" t="inlineStr">
        <is>
          <t>N A V E G A Ç Ã O</t>
        </is>
      </c>
      <c r="B3" s="19" t="inlineStr">
        <is>
          <t>Lance cada recibo que pode virar dedução. A coluna Categoria alimenta as SOMASE do Resumo; marque se o comprovante está guardado.</t>
        </is>
      </c>
    </row>
    <row r="4" ht="21" customHeight="1">
      <c r="A4" s="7">
        <f>VoltarAoMenu</f>
        <v/>
      </c>
      <c r="B4" s="44" t="inlineStr">
        <is>
          <t>Data</t>
        </is>
      </c>
      <c r="C4" s="44" t="inlineStr">
        <is>
          <t>Emitente</t>
        </is>
      </c>
      <c r="D4" s="44" t="inlineStr">
        <is>
          <t>CNPJ</t>
        </is>
      </c>
      <c r="E4" s="44" t="inlineStr">
        <is>
          <t>Categoria</t>
        </is>
      </c>
      <c r="F4" s="44" t="inlineStr">
        <is>
          <t>Valor (R$)</t>
        </is>
      </c>
      <c r="G4" s="44" t="inlineStr">
        <is>
          <t>Forma de pagamento</t>
        </is>
      </c>
      <c r="H4" s="44" t="inlineStr">
        <is>
          <t>Comprovante guardado?</t>
        </is>
      </c>
      <c r="I4" s="44" t="inlineStr">
        <is>
          <t>Observações</t>
        </is>
      </c>
      <c r="K4" s="6" t="inlineStr">
        <is>
          <t>DESPESAS POR CATEGORIA</t>
        </is>
      </c>
    </row>
    <row r="5" ht="18" customHeight="1">
      <c r="A5" s="7">
        <f>HYPERLINK("#Titular!B2","TITULAR")</f>
        <v/>
      </c>
      <c r="B5" s="40">
        <f>DATE(2025,1,12)</f>
        <v/>
      </c>
      <c r="C5" s="24" t="inlineStr">
        <is>
          <t>Unimed Rondônia</t>
        </is>
      </c>
      <c r="D5" s="45" t="n">
        <v>1234567000188</v>
      </c>
      <c r="E5" s="41" t="inlineStr">
        <is>
          <t>Saúde</t>
        </is>
      </c>
      <c r="F5" s="46" t="n">
        <v>7200</v>
      </c>
      <c r="G5" s="41" t="inlineStr">
        <is>
          <t>PIX</t>
        </is>
      </c>
      <c r="H5" s="41" t="inlineStr">
        <is>
          <t>Sim</t>
        </is>
      </c>
      <c r="I5" s="24" t="inlineStr">
        <is>
          <t>Plano de saúde — 12 meses</t>
        </is>
      </c>
      <c r="K5" s="47" t="inlineStr">
        <is>
          <t>Saúde</t>
        </is>
      </c>
      <c r="L5" s="48">
        <f>SUMIF(CategoriasNotas,"Saúde",ValoresNotas)</f>
        <v/>
      </c>
    </row>
    <row r="6" ht="18" customHeight="1">
      <c r="A6" s="7">
        <f>HYPERLINK("#Informes!B2","INFORMES")</f>
        <v/>
      </c>
      <c r="B6" s="40">
        <f>DATE(2025,2,15)</f>
        <v/>
      </c>
      <c r="C6" s="24" t="inlineStr">
        <is>
          <t>Clínica Odonto Sorriso</t>
        </is>
      </c>
      <c r="D6" s="45" t="n">
        <v>11223344000155</v>
      </c>
      <c r="E6" s="41" t="inlineStr">
        <is>
          <t>Saúde</t>
        </is>
      </c>
      <c r="F6" s="46" t="n">
        <v>2400</v>
      </c>
      <c r="G6" s="41" t="inlineStr">
        <is>
          <t>Cartão de crédito</t>
        </is>
      </c>
      <c r="H6" s="41" t="inlineStr">
        <is>
          <t>Sim</t>
        </is>
      </c>
      <c r="I6" s="24" t="inlineStr">
        <is>
          <t>Tratamento dentário</t>
        </is>
      </c>
      <c r="K6" s="47" t="inlineStr">
        <is>
          <t>Educação</t>
        </is>
      </c>
      <c r="L6" s="48">
        <f>SUMIF(CategoriasNotas,"Educação",ValoresNotas)</f>
        <v/>
      </c>
    </row>
    <row r="7" ht="18" customHeight="1">
      <c r="A7" s="23">
        <f>HYPERLINK("#Notas!B2","NOTAS")</f>
        <v/>
      </c>
      <c r="B7" s="40">
        <f>DATE(2025,3,5)</f>
        <v/>
      </c>
      <c r="C7" s="24" t="inlineStr">
        <is>
          <t>Colégio Objetivo Cacoal</t>
        </is>
      </c>
      <c r="D7" s="45" t="n">
        <v>22334455000166</v>
      </c>
      <c r="E7" s="41" t="inlineStr">
        <is>
          <t>Educação</t>
        </is>
      </c>
      <c r="F7" s="46" t="n">
        <v>5400</v>
      </c>
      <c r="G7" s="41" t="inlineStr">
        <is>
          <t>Boleto</t>
        </is>
      </c>
      <c r="H7" s="41" t="inlineStr">
        <is>
          <t>Sim</t>
        </is>
      </c>
      <c r="I7" s="24" t="inlineStr">
        <is>
          <t>Mensalidades da filha</t>
        </is>
      </c>
      <c r="K7" s="47" t="inlineStr">
        <is>
          <t>Previdência privada (PGBL)</t>
        </is>
      </c>
      <c r="L7" s="48">
        <f>SUMIF(CategoriasNotas,"Previdência privada (PGBL)",ValoresNotas)</f>
        <v/>
      </c>
    </row>
    <row r="8" ht="18" customHeight="1">
      <c r="A8" s="7">
        <f>HYPERLINK("#Bens!B2","BENS")</f>
        <v/>
      </c>
      <c r="B8" s="40">
        <f>DATE(2025,8,8)</f>
        <v/>
      </c>
      <c r="C8" s="24" t="inlineStr">
        <is>
          <t>Faculdade FCR</t>
        </is>
      </c>
      <c r="D8" s="45" t="n">
        <v>33445566000177</v>
      </c>
      <c r="E8" s="41" t="inlineStr">
        <is>
          <t>Educação</t>
        </is>
      </c>
      <c r="F8" s="46" t="n">
        <v>6200</v>
      </c>
      <c r="G8" s="41" t="inlineStr">
        <is>
          <t>Transferência</t>
        </is>
      </c>
      <c r="H8" s="41" t="inlineStr">
        <is>
          <t>Sim</t>
        </is>
      </c>
      <c r="I8" s="24" t="inlineStr">
        <is>
          <t>Pós-graduação do titular</t>
        </is>
      </c>
      <c r="K8" s="47" t="inlineStr">
        <is>
          <t>Pensão alimentícia</t>
        </is>
      </c>
      <c r="L8" s="48">
        <f>SUMIF(CategoriasNotas,"Pensão alimentícia",ValoresNotas)</f>
        <v/>
      </c>
    </row>
    <row r="9" ht="18" customHeight="1">
      <c r="A9" s="7">
        <f>HYPERLINK("#Resumo!B2","RESUMO")</f>
        <v/>
      </c>
      <c r="B9" s="40">
        <f>DATE(2025,4,20)</f>
        <v/>
      </c>
      <c r="C9" s="24" t="inlineStr">
        <is>
          <t>Brasilprev (PGBL)</t>
        </is>
      </c>
      <c r="D9" s="45" t="n">
        <v>33556677000122</v>
      </c>
      <c r="E9" s="41" t="inlineStr">
        <is>
          <t>Previdência privada (PGBL)</t>
        </is>
      </c>
      <c r="F9" s="46" t="n">
        <v>6000</v>
      </c>
      <c r="G9" s="41" t="inlineStr">
        <is>
          <t>Transferência</t>
        </is>
      </c>
      <c r="H9" s="41" t="inlineStr">
        <is>
          <t>Sim</t>
        </is>
      </c>
      <c r="I9" s="24" t="inlineStr">
        <is>
          <t>Plano PGBL — 12 aportes</t>
        </is>
      </c>
      <c r="K9" s="47" t="inlineStr">
        <is>
          <t>Outras deduções</t>
        </is>
      </c>
      <c r="L9" s="48">
        <f>SUMIF(CategoriasNotas,"Outras deduções",ValoresNotas)</f>
        <v/>
      </c>
    </row>
    <row r="10" ht="18" customHeight="1">
      <c r="A10" s="7">
        <f>HYPERLINK("#Auxiliar!B2","AUXILIAR")</f>
        <v/>
      </c>
      <c r="B10" s="40">
        <f>DATE(2025,6,22)</f>
        <v/>
      </c>
      <c r="C10" s="24" t="inlineStr">
        <is>
          <t>Pensão alimentícia (judicial)</t>
        </is>
      </c>
      <c r="D10" s="45" t="n"/>
      <c r="E10" s="41" t="inlineStr">
        <is>
          <t>Pensão alimentícia</t>
        </is>
      </c>
      <c r="F10" s="46" t="n">
        <v>12000</v>
      </c>
      <c r="G10" s="41" t="inlineStr">
        <is>
          <t>Transferência</t>
        </is>
      </c>
      <c r="H10" s="41" t="inlineStr">
        <is>
          <t>Sim</t>
        </is>
      </c>
      <c r="I10" s="24" t="inlineStr">
        <is>
          <t>Decisão judicial — 12 meses</t>
        </is>
      </c>
      <c r="K10" s="47" t="inlineStr">
        <is>
          <t>Não dedutível</t>
        </is>
      </c>
      <c r="L10" s="48">
        <f>SUMIF(CategoriasNotas,"Não dedutível",ValoresNotas)</f>
        <v/>
      </c>
    </row>
    <row r="11" ht="19" customHeight="1">
      <c r="B11" s="40">
        <f>DATE(2025,5,10)</f>
        <v/>
      </c>
      <c r="C11" s="24" t="inlineStr">
        <is>
          <t>Drogaria Central</t>
        </is>
      </c>
      <c r="D11" s="45" t="n">
        <v>44556677000133</v>
      </c>
      <c r="E11" s="41" t="inlineStr">
        <is>
          <t>Não dedutível</t>
        </is>
      </c>
      <c r="F11" s="46" t="n">
        <v>1100</v>
      </c>
      <c r="G11" s="41" t="inlineStr">
        <is>
          <t>Dinheiro</t>
        </is>
      </c>
      <c r="H11" s="41" t="inlineStr">
        <is>
          <t>Não</t>
        </is>
      </c>
      <c r="I11" s="24" t="inlineStr">
        <is>
          <t>Farmácia NÃO é dedutível</t>
        </is>
      </c>
      <c r="K11" s="53" t="inlineStr">
        <is>
          <t>Total dedutível estimado</t>
        </is>
      </c>
      <c r="L11" s="54">
        <f>SUM($L$5:$L$9)</f>
        <v/>
      </c>
    </row>
    <row r="12" ht="17" customHeight="1">
      <c r="A12" s="29">
        <f>HYPERLINK("#Informes!B2","«  Informes")</f>
        <v/>
      </c>
      <c r="B12" s="40" t="inlineStr"/>
      <c r="C12" s="24" t="n"/>
      <c r="D12" s="45" t="n"/>
      <c r="E12" s="41" t="n"/>
      <c r="F12" s="46" t="n"/>
      <c r="G12" s="41" t="n"/>
      <c r="H12" s="41" t="n"/>
      <c r="I12" s="24" t="inlineStr"/>
    </row>
    <row r="13" ht="17" customHeight="1">
      <c r="A13" s="29">
        <f>HYPERLINK("#Bens!B2","Bens  »")</f>
        <v/>
      </c>
      <c r="B13" s="40" t="inlineStr"/>
      <c r="C13" s="24" t="n"/>
      <c r="D13" s="45" t="n"/>
      <c r="E13" s="41" t="n"/>
      <c r="F13" s="46" t="n"/>
      <c r="G13" s="41" t="n"/>
      <c r="H13" s="41" t="n"/>
      <c r="I13" s="24" t="inlineStr"/>
    </row>
    <row r="14" ht="17" customHeight="1">
      <c r="B14" s="40" t="inlineStr"/>
      <c r="C14" s="24" t="n"/>
      <c r="D14" s="45" t="n"/>
      <c r="E14" s="41" t="n"/>
      <c r="F14" s="46" t="n"/>
      <c r="G14" s="41" t="n"/>
      <c r="H14" s="41" t="n"/>
      <c r="I14" s="24" t="inlineStr"/>
    </row>
    <row r="15" ht="17" customHeight="1">
      <c r="B15" s="40" t="inlineStr"/>
      <c r="C15" s="24" t="n"/>
      <c r="D15" s="45" t="n"/>
      <c r="E15" s="41" t="n"/>
      <c r="F15" s="46" t="n"/>
      <c r="G15" s="41" t="n"/>
      <c r="H15" s="41" t="n"/>
      <c r="I15" s="24" t="inlineStr"/>
    </row>
    <row r="16" ht="17" customHeight="1">
      <c r="B16" s="40" t="inlineStr"/>
      <c r="C16" s="24" t="n"/>
      <c r="D16" s="45" t="n"/>
      <c r="E16" s="41" t="n"/>
      <c r="F16" s="46" t="n"/>
      <c r="G16" s="41" t="n"/>
      <c r="H16" s="41" t="n"/>
      <c r="I16" s="24" t="inlineStr"/>
    </row>
    <row r="17" ht="17" customHeight="1">
      <c r="B17" s="40" t="inlineStr"/>
      <c r="C17" s="24" t="n"/>
      <c r="D17" s="45" t="n"/>
      <c r="E17" s="41" t="n"/>
      <c r="F17" s="46" t="n"/>
      <c r="G17" s="41" t="n"/>
      <c r="H17" s="41" t="n"/>
      <c r="I17" s="24" t="inlineStr"/>
    </row>
    <row r="18" ht="17" customHeight="1">
      <c r="B18" s="40" t="inlineStr"/>
      <c r="C18" s="24" t="n"/>
      <c r="D18" s="45" t="n"/>
      <c r="E18" s="41" t="n"/>
      <c r="F18" s="46" t="n"/>
      <c r="G18" s="41" t="n"/>
      <c r="H18" s="41" t="n"/>
      <c r="I18" s="24" t="inlineStr"/>
    </row>
    <row r="19" ht="17" customHeight="1">
      <c r="B19" s="40" t="inlineStr"/>
      <c r="C19" s="24" t="n"/>
      <c r="D19" s="45" t="n"/>
      <c r="E19" s="41" t="n"/>
      <c r="F19" s="46" t="n"/>
      <c r="G19" s="41" t="n"/>
      <c r="H19" s="41" t="n"/>
      <c r="I19" s="24" t="inlineStr"/>
    </row>
    <row r="20" ht="17" customHeight="1">
      <c r="B20" s="40" t="inlineStr"/>
      <c r="C20" s="24" t="n"/>
      <c r="D20" s="45" t="n"/>
      <c r="E20" s="41" t="n"/>
      <c r="F20" s="46" t="n"/>
      <c r="G20" s="41" t="n"/>
      <c r="H20" s="41" t="n"/>
      <c r="I20" s="24" t="inlineStr"/>
    </row>
    <row r="21" ht="17" customHeight="1">
      <c r="B21" s="40" t="inlineStr"/>
      <c r="C21" s="24" t="n"/>
      <c r="D21" s="45" t="n"/>
      <c r="E21" s="41" t="n"/>
      <c r="F21" s="46" t="n"/>
      <c r="G21" s="41" t="n"/>
      <c r="H21" s="41" t="n"/>
      <c r="I21" s="24" t="inlineStr"/>
    </row>
    <row r="22" ht="17" customHeight="1">
      <c r="B22" s="40" t="inlineStr"/>
      <c r="C22" s="24" t="n"/>
      <c r="D22" s="45" t="n"/>
      <c r="E22" s="41" t="n"/>
      <c r="F22" s="46" t="n"/>
      <c r="G22" s="41" t="n"/>
      <c r="H22" s="41" t="n"/>
      <c r="I22" s="24" t="inlineStr"/>
    </row>
    <row r="23" ht="17" customHeight="1">
      <c r="B23" s="40" t="inlineStr"/>
      <c r="C23" s="24" t="n"/>
      <c r="D23" s="45" t="n"/>
      <c r="E23" s="41" t="n"/>
      <c r="F23" s="46" t="n"/>
      <c r="G23" s="41" t="n"/>
      <c r="H23" s="41" t="n"/>
      <c r="I23" s="24" t="inlineStr"/>
    </row>
    <row r="24" ht="17" customHeight="1">
      <c r="B24" s="40" t="inlineStr"/>
      <c r="C24" s="24" t="n"/>
      <c r="D24" s="45" t="n"/>
      <c r="E24" s="41" t="n"/>
      <c r="F24" s="46" t="n"/>
      <c r="G24" s="41" t="n"/>
      <c r="H24" s="41" t="n"/>
      <c r="I24" s="24" t="inlineStr"/>
    </row>
    <row r="25" ht="17" customHeight="1">
      <c r="B25" s="40" t="inlineStr"/>
      <c r="C25" s="24" t="n"/>
      <c r="D25" s="45" t="n"/>
      <c r="E25" s="41" t="n"/>
      <c r="F25" s="46" t="n"/>
      <c r="G25" s="41" t="n"/>
      <c r="H25" s="41" t="n"/>
      <c r="I25" s="24" t="inlineStr"/>
    </row>
    <row r="26" ht="17" customHeight="1">
      <c r="B26" s="40" t="inlineStr"/>
      <c r="C26" s="24" t="n"/>
      <c r="D26" s="45" t="n"/>
      <c r="E26" s="41" t="n"/>
      <c r="F26" s="46" t="n"/>
      <c r="G26" s="41" t="n"/>
      <c r="H26" s="41" t="n"/>
      <c r="I26" s="24" t="inlineStr"/>
    </row>
    <row r="27" ht="17" customHeight="1">
      <c r="B27" s="40" t="inlineStr"/>
      <c r="C27" s="24" t="n"/>
      <c r="D27" s="45" t="n"/>
      <c r="E27" s="41" t="n"/>
      <c r="F27" s="46" t="n"/>
      <c r="G27" s="41" t="n"/>
      <c r="H27" s="41" t="n"/>
      <c r="I27" s="24" t="inlineStr"/>
    </row>
    <row r="28" ht="17" customHeight="1">
      <c r="B28" s="40" t="inlineStr"/>
      <c r="C28" s="24" t="n"/>
      <c r="D28" s="45" t="n"/>
      <c r="E28" s="41" t="n"/>
      <c r="F28" s="46" t="n"/>
      <c r="G28" s="41" t="n"/>
      <c r="H28" s="41" t="n"/>
      <c r="I28" s="24" t="inlineStr"/>
    </row>
    <row r="29" ht="17" customHeight="1">
      <c r="B29" s="40" t="inlineStr"/>
      <c r="C29" s="24" t="n"/>
      <c r="D29" s="45" t="n"/>
      <c r="E29" s="41" t="n"/>
      <c r="F29" s="46" t="n"/>
      <c r="G29" s="41" t="n"/>
      <c r="H29" s="41" t="n"/>
      <c r="I29" s="24" t="inlineStr"/>
    </row>
    <row r="30" ht="17" customHeight="1">
      <c r="B30" s="40" t="inlineStr"/>
      <c r="C30" s="24" t="n"/>
      <c r="D30" s="45" t="n"/>
      <c r="E30" s="41" t="n"/>
      <c r="F30" s="46" t="n"/>
      <c r="G30" s="41" t="n"/>
      <c r="H30" s="41" t="n"/>
      <c r="I30" s="24" t="inlineStr"/>
    </row>
    <row r="31" ht="17" customHeight="1">
      <c r="B31" s="40" t="inlineStr"/>
      <c r="C31" s="24" t="n"/>
      <c r="D31" s="45" t="n"/>
      <c r="E31" s="41" t="n"/>
      <c r="F31" s="46" t="n"/>
      <c r="G31" s="41" t="n"/>
      <c r="H31" s="41" t="n"/>
      <c r="I31" s="24" t="inlineStr"/>
    </row>
    <row r="32" ht="17" customHeight="1">
      <c r="B32" s="40" t="inlineStr"/>
      <c r="C32" s="24" t="n"/>
      <c r="D32" s="45" t="n"/>
      <c r="E32" s="41" t="n"/>
      <c r="F32" s="46" t="n"/>
      <c r="G32" s="41" t="n"/>
      <c r="H32" s="41" t="n"/>
      <c r="I32" s="24" t="inlineStr"/>
    </row>
    <row r="33" ht="17" customHeight="1">
      <c r="B33" s="40" t="inlineStr"/>
      <c r="C33" s="24" t="n"/>
      <c r="D33" s="45" t="n"/>
      <c r="E33" s="41" t="n"/>
      <c r="F33" s="46" t="n"/>
      <c r="G33" s="41" t="n"/>
      <c r="H33" s="41" t="n"/>
      <c r="I33" s="24" t="inlineStr"/>
    </row>
    <row r="34" ht="17" customHeight="1">
      <c r="B34" s="40" t="inlineStr"/>
      <c r="C34" s="24" t="n"/>
      <c r="D34" s="45" t="n"/>
      <c r="E34" s="41" t="n"/>
      <c r="F34" s="46" t="n"/>
      <c r="G34" s="41" t="n"/>
      <c r="H34" s="41" t="n"/>
      <c r="I34" s="24" t="inlineStr"/>
    </row>
    <row r="35" ht="17" customHeight="1">
      <c r="B35" s="40" t="inlineStr"/>
      <c r="C35" s="24" t="n"/>
      <c r="D35" s="45" t="n"/>
      <c r="E35" s="41" t="n"/>
      <c r="F35" s="46" t="n"/>
      <c r="G35" s="41" t="n"/>
      <c r="H35" s="41" t="n"/>
      <c r="I35" s="24" t="inlineStr"/>
    </row>
    <row r="36" ht="17" customHeight="1">
      <c r="B36" s="40" t="inlineStr"/>
      <c r="C36" s="24" t="n"/>
      <c r="D36" s="45" t="n"/>
      <c r="E36" s="41" t="n"/>
      <c r="F36" s="46" t="n"/>
      <c r="G36" s="41" t="n"/>
      <c r="H36" s="41" t="n"/>
      <c r="I36" s="24" t="inlineStr"/>
    </row>
    <row r="37" ht="17" customHeight="1">
      <c r="B37" s="40" t="inlineStr"/>
      <c r="C37" s="24" t="n"/>
      <c r="D37" s="45" t="n"/>
      <c r="E37" s="41" t="n"/>
      <c r="F37" s="46" t="n"/>
      <c r="G37" s="41" t="n"/>
      <c r="H37" s="41" t="n"/>
      <c r="I37" s="24" t="inlineStr"/>
    </row>
    <row r="38" ht="17" customHeight="1">
      <c r="B38" s="40" t="inlineStr"/>
      <c r="C38" s="24" t="n"/>
      <c r="D38" s="45" t="n"/>
      <c r="E38" s="41" t="n"/>
      <c r="F38" s="46" t="n"/>
      <c r="G38" s="41" t="n"/>
      <c r="H38" s="41" t="n"/>
      <c r="I38" s="24" t="inlineStr"/>
    </row>
    <row r="39" ht="17" customHeight="1">
      <c r="B39" s="40" t="inlineStr"/>
      <c r="C39" s="24" t="n"/>
      <c r="D39" s="45" t="n"/>
      <c r="E39" s="41" t="n"/>
      <c r="F39" s="46" t="n"/>
      <c r="G39" s="41" t="n"/>
      <c r="H39" s="41" t="n"/>
      <c r="I39" s="24" t="inlineStr"/>
    </row>
    <row r="40" ht="17" customHeight="1">
      <c r="B40" s="40" t="inlineStr"/>
      <c r="C40" s="24" t="n"/>
      <c r="D40" s="45" t="n"/>
      <c r="E40" s="41" t="n"/>
      <c r="F40" s="46" t="n"/>
      <c r="G40" s="41" t="n"/>
      <c r="H40" s="41" t="n"/>
      <c r="I40" s="24" t="inlineStr"/>
    </row>
    <row r="41" ht="20" customHeight="1">
      <c r="B41" s="50" t="inlineStr">
        <is>
          <t>TOTAIS DAS NOTAS →</t>
        </is>
      </c>
      <c r="C41" s="33" t="n"/>
      <c r="D41" s="33" t="n"/>
      <c r="E41" s="34" t="n"/>
      <c r="F41" s="51">
        <f>SUM(F5:F40)</f>
        <v/>
      </c>
      <c r="G41" s="43" t="inlineStr">
        <is>
          <t>Soma de todas as notas lançadas (dedutíveis ou não).</t>
        </is>
      </c>
    </row>
  </sheetData>
  <mergeCells count="5">
    <mergeCell ref="B41:E41"/>
    <mergeCell ref="H2:I2"/>
    <mergeCell ref="B3:I3"/>
    <mergeCell ref="B2:E2"/>
    <mergeCell ref="K4:L4"/>
  </mergeCells>
  <conditionalFormatting sqref="F5:F40">
    <cfRule type="dataBar" priority="1">
      <dataBar showValue="1">
        <cfvo type="num" val="0"/>
        <cfvo type="max"/>
        <color rgb="001E7F53"/>
      </dataBar>
    </cfRule>
  </conditionalFormatting>
  <conditionalFormatting sqref="H5:H40">
    <cfRule type="expression" priority="2" dxfId="5" stopIfTrue="0">
      <formula>$H5="Não"</formula>
    </cfRule>
  </conditionalFormatting>
  <dataValidations count="3">
    <dataValidation sqref="E5:E40" showDropDown="0" showInputMessage="0" showErrorMessage="1" allowBlank="1" errorTitle="Categoria inválida" error="Escolha uma categoria da lista de notas." type="list">
      <formula1>=ListaCategoriaNota</formula1>
    </dataValidation>
    <dataValidation sqref="G5:G40" showDropDown="0" showInputMessage="0" showErrorMessage="1" allowBlank="1" errorTitle="Forma de pagamento inválida" error="Escolha uma forma de pagamento." type="list">
      <formula1>=ListaPagamento</formula1>
    </dataValidation>
    <dataValidation sqref="H5:H40" showDropDown="0" showInputMessage="0" showErrorMessage="1" allowBlank="1" errorTitle="Valor inválido" error="Escolha Sim ou Não." type="list">
      <formula1>=ListaSimNao</formula1>
    </dataValidation>
  </dataValidations>
  <printOptions horizontalCentered="1"/>
  <pageMargins left="0.35" right="0.35" top="0.45" bottom="0.45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C6B0A"/>
    <outlinePr summaryBelow="1" summaryRight="1"/>
    <pageSetUpPr fitToPage="1"/>
  </sheetPr>
  <dimension ref="A2:J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40" customWidth="1" min="3" max="3"/>
    <col width="22" customWidth="1" min="4" max="4"/>
    <col width="22" customWidth="1" min="5" max="5"/>
    <col width="18" customWidth="1" min="6" max="6"/>
    <col width="26" customWidth="1" min="7" max="7"/>
    <col width="2" customWidth="1" min="8" max="8"/>
    <col width="26" customWidth="1" min="9" max="9"/>
    <col width="18" customWidth="1" min="10" max="10"/>
  </cols>
  <sheetData>
    <row r="2" ht="30" customHeight="1">
      <c r="B2" s="17">
        <f>"BENS E DIREITOS — SALDOS EM 31/12/"&amp;AnoCalendario</f>
        <v/>
      </c>
      <c r="F2" s="11">
        <f>VoltarAoMenu</f>
        <v/>
      </c>
    </row>
    <row r="3">
      <c r="A3" s="18" t="inlineStr">
        <is>
          <t>N A V E G A Ç Ã O</t>
        </is>
      </c>
      <c r="B3" s="19" t="inlineStr">
        <is>
          <t>Informe o valor de cada bem na declaração anterior e em 31/12 do ano da declaração. A variação patrimonial é calculada sozinha.</t>
        </is>
      </c>
    </row>
    <row r="4" ht="21" customHeight="1">
      <c r="A4" s="7">
        <f>VoltarAoMenu</f>
        <v/>
      </c>
      <c r="B4" s="44" t="inlineStr">
        <is>
          <t>Tipo de bem</t>
        </is>
      </c>
      <c r="C4" s="44" t="inlineStr">
        <is>
          <t>Descrição</t>
        </is>
      </c>
      <c r="D4" s="44">
        <f>"VALOR EM 31/12/"&amp;(AnoCalendario-1)</f>
        <v/>
      </c>
      <c r="E4" s="44">
        <f>"VALOR EM 31/12/"&amp;AnoCalendario</f>
        <v/>
      </c>
      <c r="F4" s="44" t="inlineStr">
        <is>
          <t>Variação (R$)</t>
        </is>
      </c>
      <c r="G4" s="44" t="inlineStr">
        <is>
          <t>Observações</t>
        </is>
      </c>
      <c r="I4" s="6" t="inlineStr">
        <is>
          <t>RESUMO PATRIMONIAL</t>
        </is>
      </c>
    </row>
    <row r="5" ht="18" customHeight="1">
      <c r="A5" s="7">
        <f>HYPERLINK("#Titular!B2","TITULAR")</f>
        <v/>
      </c>
      <c r="B5" s="41" t="inlineStr">
        <is>
          <t>Imóvel</t>
        </is>
      </c>
      <c r="C5" s="24" t="inlineStr">
        <is>
          <t>Casa — Rua das Palmeiras, 245</t>
        </is>
      </c>
      <c r="D5" s="46" t="n">
        <v>320000</v>
      </c>
      <c r="E5" s="46" t="n">
        <v>320000</v>
      </c>
      <c r="F5" s="55">
        <f>IF(AND(D5="",E5=""),"",N(E5)-N(D5))</f>
        <v/>
      </c>
      <c r="G5" s="24" t="inlineStr">
        <is>
          <t>Sem alteração no ano</t>
        </is>
      </c>
      <c r="I5" s="47" t="inlineStr">
        <is>
          <t>Total em 31/12 do ano anterior</t>
        </is>
      </c>
      <c r="J5" s="48">
        <f>D25</f>
        <v/>
      </c>
    </row>
    <row r="6" ht="18" customHeight="1">
      <c r="A6" s="7">
        <f>HYPERLINK("#Informes!B2","INFORMES")</f>
        <v/>
      </c>
      <c r="B6" s="41" t="inlineStr">
        <is>
          <t>Veículo</t>
        </is>
      </c>
      <c r="C6" s="24" t="inlineStr">
        <is>
          <t>Onix 2019 — placa NDA-1A23</t>
        </is>
      </c>
      <c r="D6" s="46" t="n">
        <v>45000</v>
      </c>
      <c r="E6" s="46" t="n">
        <v>38000</v>
      </c>
      <c r="F6" s="55">
        <f>IF(AND(D6="",E6=""),"",N(E6)-N(D6))</f>
        <v/>
      </c>
      <c r="G6" s="24" t="inlineStr">
        <is>
          <t>Depreciação</t>
        </is>
      </c>
      <c r="I6" s="47" t="inlineStr">
        <is>
          <t>Total em 31/12 do ano da declaração</t>
        </is>
      </c>
      <c r="J6" s="48">
        <f>E25</f>
        <v/>
      </c>
    </row>
    <row r="7" ht="18" customHeight="1">
      <c r="A7" s="7">
        <f>HYPERLINK("#Notas!B2","NOTAS")</f>
        <v/>
      </c>
      <c r="B7" s="41" t="inlineStr">
        <is>
          <t>Ações / FIIs</t>
        </is>
      </c>
      <c r="C7" s="24" t="inlineStr">
        <is>
          <t>Carteira na corretora XP</t>
        </is>
      </c>
      <c r="D7" s="46" t="n">
        <v>60000</v>
      </c>
      <c r="E7" s="46" t="n">
        <v>78000</v>
      </c>
      <c r="F7" s="55">
        <f>IF(AND(D7="",E7=""),"",N(E7)-N(D7))</f>
        <v/>
      </c>
      <c r="G7" s="24" t="inlineStr">
        <is>
          <t>Aportes de R$ 1.000/mês</t>
        </is>
      </c>
      <c r="I7" s="47" t="inlineStr">
        <is>
          <t>Variação no ano</t>
        </is>
      </c>
      <c r="J7" s="48">
        <f>F25</f>
        <v/>
      </c>
    </row>
    <row r="8" ht="17" customHeight="1">
      <c r="A8" s="23">
        <f>HYPERLINK("#Bens!B2","BENS")</f>
        <v/>
      </c>
      <c r="B8" s="41" t="inlineStr">
        <is>
          <t>Poupança / Conta</t>
        </is>
      </c>
      <c r="C8" s="24" t="inlineStr">
        <is>
          <t>Conta corrente + poupança (saldo 31/12)</t>
        </is>
      </c>
      <c r="D8" s="46" t="n">
        <v>15000</v>
      </c>
      <c r="E8" s="46" t="n">
        <v>22000</v>
      </c>
      <c r="F8" s="55">
        <f>IF(AND(D8="",E8=""),"",N(E8)-N(D8))</f>
        <v/>
      </c>
      <c r="G8" s="24" t="inlineStr">
        <is>
          <t>Reserva de emergência</t>
        </is>
      </c>
    </row>
    <row r="9" ht="17" customHeight="1">
      <c r="A9" s="7">
        <f>HYPERLINK("#Resumo!B2","RESUMO")</f>
        <v/>
      </c>
      <c r="B9" s="41" t="inlineStr"/>
      <c r="C9" s="24" t="inlineStr"/>
      <c r="D9" s="46" t="n"/>
      <c r="E9" s="46" t="n"/>
      <c r="F9" s="55">
        <f>IF(AND(D9="",E9=""),"",N(E9)-N(D9))</f>
        <v/>
      </c>
      <c r="G9" s="24" t="inlineStr"/>
    </row>
    <row r="10" ht="17" customHeight="1">
      <c r="A10" s="7">
        <f>HYPERLINK("#Auxiliar!B2","AUXILIAR")</f>
        <v/>
      </c>
      <c r="B10" s="41" t="inlineStr"/>
      <c r="C10" s="24" t="inlineStr"/>
      <c r="D10" s="46" t="n"/>
      <c r="E10" s="46" t="n"/>
      <c r="F10" s="55">
        <f>IF(AND(D10="",E10=""),"",N(E10)-N(D10))</f>
        <v/>
      </c>
      <c r="G10" s="24" t="inlineStr"/>
    </row>
    <row r="11" ht="17" customHeight="1">
      <c r="B11" s="41" t="inlineStr"/>
      <c r="C11" s="24" t="inlineStr"/>
      <c r="D11" s="46" t="n"/>
      <c r="E11" s="46" t="n"/>
      <c r="F11" s="55">
        <f>IF(AND(D11="",E11=""),"",N(E11)-N(D11))</f>
        <v/>
      </c>
      <c r="G11" s="24" t="inlineStr"/>
    </row>
    <row r="12" ht="17" customHeight="1">
      <c r="A12" s="29">
        <f>HYPERLINK("#Notas!B2","«  Notas")</f>
        <v/>
      </c>
      <c r="B12" s="41" t="inlineStr"/>
      <c r="C12" s="24" t="inlineStr"/>
      <c r="D12" s="46" t="n"/>
      <c r="E12" s="46" t="n"/>
      <c r="F12" s="55">
        <f>IF(AND(D12="",E12=""),"",N(E12)-N(D12))</f>
        <v/>
      </c>
      <c r="G12" s="24" t="inlineStr"/>
    </row>
    <row r="13" ht="17" customHeight="1">
      <c r="A13" s="29">
        <f>HYPERLINK("#Resumo!B2","Resumo  »")</f>
        <v/>
      </c>
      <c r="B13" s="41" t="inlineStr"/>
      <c r="C13" s="24" t="inlineStr"/>
      <c r="D13" s="46" t="n"/>
      <c r="E13" s="46" t="n"/>
      <c r="F13" s="55">
        <f>IF(AND(D13="",E13=""),"",N(E13)-N(D13))</f>
        <v/>
      </c>
      <c r="G13" s="24" t="inlineStr"/>
    </row>
    <row r="14" ht="17" customHeight="1">
      <c r="B14" s="41" t="inlineStr"/>
      <c r="C14" s="24" t="inlineStr"/>
      <c r="D14" s="46" t="n"/>
      <c r="E14" s="46" t="n"/>
      <c r="F14" s="55">
        <f>IF(AND(D14="",E14=""),"",N(E14)-N(D14))</f>
        <v/>
      </c>
      <c r="G14" s="24" t="inlineStr"/>
    </row>
    <row r="15" ht="17" customHeight="1">
      <c r="B15" s="41" t="inlineStr"/>
      <c r="C15" s="24" t="inlineStr"/>
      <c r="D15" s="46" t="n"/>
      <c r="E15" s="46" t="n"/>
      <c r="F15" s="55">
        <f>IF(AND(D15="",E15=""),"",N(E15)-N(D15))</f>
        <v/>
      </c>
      <c r="G15" s="24" t="inlineStr"/>
    </row>
    <row r="16" ht="17" customHeight="1">
      <c r="B16" s="41" t="inlineStr"/>
      <c r="C16" s="24" t="inlineStr"/>
      <c r="D16" s="46" t="n"/>
      <c r="E16" s="46" t="n"/>
      <c r="F16" s="55">
        <f>IF(AND(D16="",E16=""),"",N(E16)-N(D16))</f>
        <v/>
      </c>
      <c r="G16" s="24" t="inlineStr"/>
    </row>
    <row r="17" ht="17" customHeight="1">
      <c r="B17" s="41" t="inlineStr"/>
      <c r="C17" s="24" t="inlineStr"/>
      <c r="D17" s="46" t="n"/>
      <c r="E17" s="46" t="n"/>
      <c r="F17" s="55">
        <f>IF(AND(D17="",E17=""),"",N(E17)-N(D17))</f>
        <v/>
      </c>
      <c r="G17" s="24" t="inlineStr"/>
    </row>
    <row r="18" ht="17" customHeight="1">
      <c r="B18" s="41" t="inlineStr"/>
      <c r="C18" s="24" t="inlineStr"/>
      <c r="D18" s="46" t="n"/>
      <c r="E18" s="46" t="n"/>
      <c r="F18" s="55">
        <f>IF(AND(D18="",E18=""),"",N(E18)-N(D18))</f>
        <v/>
      </c>
      <c r="G18" s="24" t="inlineStr"/>
    </row>
    <row r="19" ht="17" customHeight="1">
      <c r="B19" s="41" t="inlineStr"/>
      <c r="C19" s="24" t="inlineStr"/>
      <c r="D19" s="46" t="n"/>
      <c r="E19" s="46" t="n"/>
      <c r="F19" s="55">
        <f>IF(AND(D19="",E19=""),"",N(E19)-N(D19))</f>
        <v/>
      </c>
      <c r="G19" s="24" t="inlineStr"/>
    </row>
    <row r="20" ht="17" customHeight="1">
      <c r="B20" s="41" t="inlineStr"/>
      <c r="C20" s="24" t="inlineStr"/>
      <c r="D20" s="46" t="n"/>
      <c r="E20" s="46" t="n"/>
      <c r="F20" s="55">
        <f>IF(AND(D20="",E20=""),"",N(E20)-N(D20))</f>
        <v/>
      </c>
      <c r="G20" s="24" t="inlineStr"/>
    </row>
    <row r="21" ht="17" customHeight="1">
      <c r="B21" s="41" t="inlineStr"/>
      <c r="C21" s="24" t="inlineStr"/>
      <c r="D21" s="46" t="n"/>
      <c r="E21" s="46" t="n"/>
      <c r="F21" s="55">
        <f>IF(AND(D21="",E21=""),"",N(E21)-N(D21))</f>
        <v/>
      </c>
      <c r="G21" s="24" t="inlineStr"/>
    </row>
    <row r="22" ht="17" customHeight="1">
      <c r="B22" s="41" t="inlineStr"/>
      <c r="C22" s="24" t="inlineStr"/>
      <c r="D22" s="46" t="n"/>
      <c r="E22" s="46" t="n"/>
      <c r="F22" s="55">
        <f>IF(AND(D22="",E22=""),"",N(E22)-N(D22))</f>
        <v/>
      </c>
      <c r="G22" s="24" t="inlineStr"/>
    </row>
    <row r="23" ht="17" customHeight="1">
      <c r="B23" s="41" t="inlineStr"/>
      <c r="C23" s="24" t="inlineStr"/>
      <c r="D23" s="46" t="n"/>
      <c r="E23" s="46" t="n"/>
      <c r="F23" s="55">
        <f>IF(AND(D23="",E23=""),"",N(E23)-N(D23))</f>
        <v/>
      </c>
      <c r="G23" s="24" t="inlineStr"/>
    </row>
    <row r="24" ht="17" customHeight="1">
      <c r="B24" s="41" t="inlineStr"/>
      <c r="C24" s="24" t="inlineStr"/>
      <c r="D24" s="46" t="n"/>
      <c r="E24" s="46" t="n"/>
      <c r="F24" s="55">
        <f>IF(AND(D24="",E24=""),"",N(E24)-N(D24))</f>
        <v/>
      </c>
      <c r="G24" s="24" t="inlineStr"/>
    </row>
    <row r="25" ht="20" customHeight="1">
      <c r="B25" s="50" t="inlineStr">
        <is>
          <t>TOTAIS →</t>
        </is>
      </c>
      <c r="C25" s="34" t="n"/>
      <c r="D25" s="51">
        <f>SUM(D5:D24)</f>
        <v/>
      </c>
      <c r="E25" s="51">
        <f>SUM(E5:E24)</f>
        <v/>
      </c>
      <c r="F25" s="51">
        <f>SUM(F5:F24)</f>
        <v/>
      </c>
      <c r="G25" s="43" t="inlineStr">
        <is>
          <t>Variação do patrimônio no ano.</t>
        </is>
      </c>
    </row>
  </sheetData>
  <mergeCells count="5">
    <mergeCell ref="B3:G3"/>
    <mergeCell ref="F2:G2"/>
    <mergeCell ref="I4:J4"/>
    <mergeCell ref="B25:C25"/>
    <mergeCell ref="B2:D2"/>
  </mergeCells>
  <conditionalFormatting sqref="D5:E24">
    <cfRule type="dataBar" priority="1">
      <dataBar showValue="1">
        <cfvo type="num" val="0"/>
        <cfvo type="max"/>
        <color rgb="009C6B0A"/>
      </dataBar>
    </cfRule>
  </conditionalFormatting>
  <dataValidations count="1">
    <dataValidation sqref="B5:B24" showDropDown="0" showInputMessage="0" showErrorMessage="1" allowBlank="1" errorTitle="Tipo inválido" error="Escolha um tipo de bem da lista." type="list">
      <formula1>=ListaBens</formula1>
    </dataValidation>
  </dataValidations>
  <printOptions horizontalCentered="1"/>
  <pageMargins left="0.35" right="0.35" top="0.45" bottom="0.45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B03A2E"/>
    <outlinePr summaryBelow="1" summaryRight="1"/>
    <pageSetUpPr fitToPage="1"/>
  </sheetPr>
  <dimension ref="A2:E5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20" customWidth="1" min="3" max="3"/>
    <col width="20" customWidth="1" min="4" max="4"/>
    <col width="54" customWidth="1" min="5" max="5"/>
  </cols>
  <sheetData>
    <row r="2" ht="30" customHeight="1">
      <c r="B2" s="56">
        <f>"RESUMO PARA A DECLARAÇÃO — ANO-CALENDÁRIO "&amp;AnoCalendario</f>
        <v/>
      </c>
      <c r="D2" s="11">
        <f>VoltarAoMenu</f>
        <v/>
      </c>
    </row>
    <row r="3">
      <c r="A3" s="18" t="inlineStr">
        <is>
          <t>N A V E G A Ç Ã O</t>
        </is>
      </c>
      <c r="B3" s="19" t="inlineStr">
        <is>
          <t>Tudo calculado a partir das abas Informes, Notas e Titular. Meça os dois modelos e use os valores como guia de preenchimento.</t>
        </is>
      </c>
    </row>
    <row r="4" ht="20" customHeight="1">
      <c r="A4" s="7">
        <f>VoltarAoMenu</f>
        <v/>
      </c>
    </row>
    <row r="5" ht="21" customHeight="1">
      <c r="A5" s="7">
        <f>HYPERLINK("#Titular!B2","TITULAR")</f>
        <v/>
      </c>
      <c r="B5" s="6" t="inlineStr">
        <is>
          <t>1) RENDIMENTOS (aba Informes)</t>
        </is>
      </c>
    </row>
    <row r="6" ht="24" customHeight="1">
      <c r="A6" s="7">
        <f>HYPERLINK("#Informes!B2","INFORMES")</f>
        <v/>
      </c>
      <c r="B6" s="20" t="inlineStr">
        <is>
          <t>Rendimentos tributáveis</t>
        </is>
      </c>
      <c r="C6" s="57">
        <f>SUMIF(Tributacoes,"Tributável",ValoresInformes)</f>
        <v/>
      </c>
      <c r="D6" s="58" t="inlineStr">
        <is>
          <t>Ficha Rendimentos Tributáveis Recebidos de PJ/PF — soma de todas as fontes.</t>
        </is>
      </c>
    </row>
    <row r="7" ht="24" customHeight="1">
      <c r="A7" s="7">
        <f>HYPERLINK("#Notas!B2","NOTAS")</f>
        <v/>
      </c>
      <c r="B7" s="20" t="inlineStr">
        <is>
          <t>Rendimentos isentos e não tributáveis</t>
        </is>
      </c>
      <c r="C7" s="57">
        <f>SUMIF(Tributacoes,"Isento",ValoresInformes)</f>
        <v/>
      </c>
      <c r="D7" s="58" t="inlineStr">
        <is>
          <t>Ficha Rendimentos Isentos (poupança, dividendos etc.).</t>
        </is>
      </c>
    </row>
    <row r="8" ht="24" customHeight="1">
      <c r="A8" s="7">
        <f>HYPERLINK("#Bens!B2","BENS")</f>
        <v/>
      </c>
      <c r="B8" s="20" t="inlineStr">
        <is>
          <t>Rendimentos com tributação exclusiva</t>
        </is>
      </c>
      <c r="C8" s="57">
        <f>SUMIF(Tributacoes,"Exclusiva na fonte",ValoresInformes)</f>
        <v/>
      </c>
      <c r="D8" s="58" t="inlineStr">
        <is>
          <t>Ficha Rendimentos Sujeitos à Tributação Exclusiva (13º, PLR etc.).</t>
        </is>
      </c>
    </row>
    <row r="9" ht="24" customHeight="1">
      <c r="A9" s="23">
        <f>HYPERLINK("#Resumo!B2","RESUMO")</f>
        <v/>
      </c>
      <c r="B9" s="20" t="inlineStr">
        <is>
          <t>Total dos rendimentos</t>
        </is>
      </c>
      <c r="C9" s="57">
        <f>SUM($C$6:$C$8)</f>
        <v/>
      </c>
      <c r="D9" s="58" t="inlineStr">
        <is>
          <t>Soma geral dos informes cadastrados.</t>
        </is>
      </c>
    </row>
    <row r="10" ht="24" customHeight="1">
      <c r="A10" s="7">
        <f>HYPERLINK("#Auxiliar!B2","AUXILIAR")</f>
        <v/>
      </c>
      <c r="B10" s="20" t="inlineStr">
        <is>
          <t>IRRF retido na fonte</t>
        </is>
      </c>
      <c r="C10" s="57">
        <f>SUM(IRRFInformes)</f>
        <v/>
      </c>
      <c r="D10" s="58" t="inlineStr">
        <is>
          <t>Já foi retido no mês — entra como dedução do imposto.</t>
        </is>
      </c>
    </row>
    <row r="11" ht="24" customHeight="1">
      <c r="B11" s="20" t="inlineStr">
        <is>
          <t>Previdência oficial paga</t>
        </is>
      </c>
      <c r="C11" s="57">
        <f>SUM(PrevidenciaInformes)</f>
        <v/>
      </c>
      <c r="D11" s="58" t="inlineStr">
        <is>
          <t>INSS/RPPS: dedutível integralmente.</t>
        </is>
      </c>
    </row>
    <row r="12">
      <c r="A12" s="29">
        <f>HYPERLINK("#Bens!B2","«  Bens")</f>
        <v/>
      </c>
    </row>
    <row r="13" ht="21" customHeight="1">
      <c r="A13" s="29">
        <f>HYPERLINK("#Auxiliar!B2","Auxiliar  »")</f>
        <v/>
      </c>
      <c r="B13" s="6" t="inlineStr">
        <is>
          <t>2) DEDUÇÕES LEGAIS (aba Notas + dependentes do Titular)</t>
        </is>
      </c>
    </row>
    <row r="14" ht="24" customHeight="1">
      <c r="B14" s="20" t="inlineStr">
        <is>
          <t>Saúde (sem limite)</t>
        </is>
      </c>
      <c r="C14" s="57">
        <f>SUMIF(CategoriasNotas,"Saúde",ValoresNotas)</f>
        <v/>
      </c>
      <c r="D14" s="58" t="inlineStr">
        <is>
          <t>Tudo o que foi lançado na categoria Saúde entra integralmente.</t>
        </is>
      </c>
    </row>
    <row r="15" ht="24" customHeight="1">
      <c r="B15" s="20" t="inlineStr">
        <is>
          <t>Educação (valor lançado)</t>
        </is>
      </c>
      <c r="C15" s="57">
        <f>SUMIF(CategoriasNotas,"Educação",ValoresNotas)</f>
        <v/>
      </c>
      <c r="D15" s="58" t="inlineStr">
        <is>
          <t>Valor bruto dos recibos de educação.</t>
        </is>
      </c>
    </row>
    <row r="16" ht="24" customHeight="1">
      <c r="B16" s="20" t="inlineStr">
        <is>
          <t>Educação dedutível (limite por pessoa)</t>
        </is>
      </c>
      <c r="C16" s="57">
        <f>MIN(C15,LimiteEducacao*(1+NumDependentes))</f>
        <v/>
      </c>
      <c r="D16" s="58" t="inlineStr">
        <is>
          <t>Limite = valor por pessoa × (titular + dependentes com despesa).</t>
        </is>
      </c>
    </row>
    <row r="17" ht="24" customHeight="1">
      <c r="B17" s="20" t="inlineStr">
        <is>
          <t>Previdência privada PGBL (valor lançado)</t>
        </is>
      </c>
      <c r="C17" s="57">
        <f>SUMIF(CategoriasNotas,"Previdência privada (PGBL)",ValoresNotas)</f>
        <v/>
      </c>
      <c r="D17" s="58" t="inlineStr">
        <is>
          <t>Aportes do ano no plano PGBL.</t>
        </is>
      </c>
    </row>
    <row r="18" ht="24" customHeight="1">
      <c r="B18" s="20" t="inlineStr">
        <is>
          <t>PGBL dedutível (até 12% da renda)</t>
        </is>
      </c>
      <c r="C18" s="57">
        <f>MIN(C17,PctPrevidencia*C6)</f>
        <v/>
      </c>
      <c r="D18" s="58" t="inlineStr">
        <is>
          <t>Só a parte dentro de 12% dos rendimentos tributáveis é dedutível.</t>
        </is>
      </c>
    </row>
    <row r="19" ht="24" customHeight="1">
      <c r="B19" s="20" t="inlineStr">
        <is>
          <t>Dependentes (nº × valor por dependente)</t>
        </is>
      </c>
      <c r="C19" s="57">
        <f>NumDependentes*LimiteDependente</f>
        <v/>
      </c>
      <c r="D19" s="58" t="inlineStr">
        <is>
          <t>Vem do total de dependentes cadastrado na aba Titular.</t>
        </is>
      </c>
    </row>
    <row r="20" ht="24" customHeight="1">
      <c r="B20" s="20" t="inlineStr">
        <is>
          <t>Pensão alimentícia</t>
        </is>
      </c>
      <c r="C20" s="57">
        <f>SUMIF(CategoriasNotas,"Pensão alimentícia",ValoresNotas)</f>
        <v/>
      </c>
      <c r="D20" s="58" t="inlineStr">
        <is>
          <t>Somente pensão por decisão judicial ou acordo homologado.</t>
        </is>
      </c>
    </row>
    <row r="21" ht="24" customHeight="1">
      <c r="B21" s="20" t="inlineStr">
        <is>
          <t>Outras deduções</t>
        </is>
      </c>
      <c r="C21" s="57">
        <f>SUMIF(CategoriasNotas,"Outras deduções",ValoresNotas)</f>
        <v/>
      </c>
      <c r="D21" s="58" t="inlineStr">
        <is>
          <t>Livros, doações com recibo etc.</t>
        </is>
      </c>
    </row>
    <row r="22" ht="24" customHeight="1">
      <c r="B22" s="59" t="inlineStr">
        <is>
          <t>TOTAL DAS DEDUÇÕES LEGAIS</t>
        </is>
      </c>
      <c r="C22" s="60">
        <f>SUM(C14,C16,C18,C19,C20,C21)+C11</f>
        <v/>
      </c>
      <c r="D22" s="58" t="inlineStr">
        <is>
          <t>Inclui a previdência oficial paga (linha 11). É a sua dedução no modelo completo.</t>
        </is>
      </c>
    </row>
    <row r="24" ht="21" customHeight="1">
      <c r="B24" s="6" t="inlineStr">
        <is>
          <t>3) QUAL MODELO PAGA MENOS IMPOSTO?</t>
        </is>
      </c>
    </row>
    <row r="25" ht="24" customHeight="1">
      <c r="B25" s="20" t="inlineStr">
        <is>
          <t>Desconto simplificado (20% com teto)</t>
        </is>
      </c>
      <c r="C25" s="57">
        <f>MIN(20%*C6,TetoSimplificado)</f>
        <v/>
      </c>
      <c r="D25" s="58" t="inlineStr">
        <is>
          <t>Não exige comprovantes: a Receita aplica o desconto direto.</t>
        </is>
      </c>
    </row>
    <row r="26" ht="24" customHeight="1">
      <c r="B26" s="20" t="inlineStr">
        <is>
          <t>Suas deduções legais (linha 22)</t>
        </is>
      </c>
      <c r="C26" s="57">
        <f>C22</f>
        <v/>
      </c>
      <c r="D26" s="58" t="inlineStr">
        <is>
          <t>O que você conseguiu comprovar com recibos e informes.</t>
        </is>
      </c>
    </row>
    <row r="27" ht="24" customHeight="1">
      <c r="B27" s="59" t="inlineStr">
        <is>
          <t>MODELO RECOMENDADO</t>
        </is>
      </c>
      <c r="C27" s="61">
        <f>IF(C26&gt;C25,"COMPLETO — deduções legais","SIMPLIFICADO — desconto de 20%")</f>
        <v/>
      </c>
      <c r="D27" s="34" t="n"/>
    </row>
    <row r="28" ht="24" customHeight="1">
      <c r="B28" s="20" t="inlineStr">
        <is>
          <t>Diferença entre os modelos (R$)</t>
        </is>
      </c>
      <c r="C28" s="57">
        <f>ABS(C26-C25)</f>
        <v/>
      </c>
      <c r="D28" s="58" t="inlineStr">
        <is>
          <t>Quanto o modelo recomendado leva de vantagem em deduções.</t>
        </is>
      </c>
    </row>
    <row r="30" ht="21" customHeight="1">
      <c r="B30" s="6" t="inlineStr">
        <is>
          <t>4) IMPOSTO ESTIMADO (tabela progressiva da aba Auxiliar)</t>
        </is>
      </c>
    </row>
    <row r="31" ht="24" customHeight="1">
      <c r="B31" s="20" t="inlineStr">
        <is>
          <t>Base de cálculo — modelo completo</t>
        </is>
      </c>
      <c r="C31" s="57">
        <f>MAX(0,C6-C26)</f>
        <v/>
      </c>
      <c r="D31" s="58" t="inlineStr">
        <is>
          <t>Rendimentos tributáveis menos as deduções do modelo completo.</t>
        </is>
      </c>
    </row>
    <row r="32" ht="24" customHeight="1">
      <c r="B32" s="20" t="inlineStr">
        <is>
          <t>Base de cálculo — modelo simplificado</t>
        </is>
      </c>
      <c r="C32" s="57">
        <f>MAX(0,C6-C25)</f>
        <v/>
      </c>
      <c r="D32" s="58" t="inlineStr">
        <is>
          <t>Rendimentos tributáveis menos o desconto simplificado.</t>
        </is>
      </c>
    </row>
    <row r="33" ht="21" customHeight="1">
      <c r="B33" s="20" t="inlineStr">
        <is>
          <t>Imposto — modelo completo</t>
        </is>
      </c>
      <c r="C33" s="57">
        <f>C31*LOOKUP(C31,FaixasIR,AliquotasIR)-LOOKUP(C31,FaixasIR,ParcelasIR)</f>
        <v/>
      </c>
    </row>
    <row r="34" ht="21" customHeight="1">
      <c r="B34" s="20" t="inlineStr">
        <is>
          <t>Imposto — modelo simplificado</t>
        </is>
      </c>
      <c r="C34" s="57">
        <f>C32*LOOKUP(C32,FaixasIR,AliquotasIR)-LOOKUP(C32,FaixasIR,ParcelasIR)</f>
        <v/>
      </c>
    </row>
    <row r="35" ht="21" customHeight="1">
      <c r="B35" s="59" t="inlineStr">
        <is>
          <t>IMPOSTO DEVIDO (menor modelo)</t>
        </is>
      </c>
      <c r="C35" s="62">
        <f>MIN(C33,C34)</f>
        <v/>
      </c>
    </row>
    <row r="36" ht="21" customHeight="1">
      <c r="B36" s="20" t="inlineStr">
        <is>
          <t>IRRF já retido na fonte (linha 10)</t>
        </is>
      </c>
      <c r="C36" s="57">
        <f>C10</f>
        <v/>
      </c>
    </row>
    <row r="37" ht="24" customHeight="1">
      <c r="B37" s="59" t="inlineStr">
        <is>
          <t>RESULTADO (imposto devido − IRRF)</t>
        </is>
      </c>
      <c r="C37" s="63">
        <f>C35-C36</f>
        <v/>
      </c>
      <c r="D37" s="32">
        <f>IF(C37&gt;0,"⚠  IR a pagar estimado: separe o valor para pagamento (cota única ou parcelado).","✔  Restituição estimada: o valor aparece no processamento da declaração.")</f>
        <v/>
      </c>
    </row>
    <row r="38" ht="21" customHeight="1">
      <c r="B38" s="20" t="inlineStr">
        <is>
          <t>Alíquota efetiva do imposto</t>
        </is>
      </c>
      <c r="C38" s="64">
        <f>IF(C6=0,0,C35/C6)</f>
        <v/>
      </c>
    </row>
    <row r="40" ht="21" customHeight="1">
      <c r="B40" s="6" t="inlineStr">
        <is>
          <t>5) AVISOS E PENDÊNCIAS</t>
        </is>
      </c>
    </row>
    <row r="41" ht="26" customHeight="1">
      <c r="B41" s="65">
        <f>IF(C15&gt;C16,"⚠  Educação acima do limite por pessoa: o excedente não é dedutível — confira os recibos e o limite em Auxiliar.","✔  Educação dentro do limite dedutível.")</f>
        <v/>
      </c>
    </row>
    <row r="42" ht="26" customHeight="1">
      <c r="B42" s="65">
        <f>IF(C17&gt;C18,"⚠  Previdência privada acima de 12% da renda tributável: só a parte dentro do limite é dedutível.","✔  Previdência privada dentro do limite de 12%.")</f>
        <v/>
      </c>
    </row>
    <row r="43" ht="26" customHeight="1">
      <c r="B43" s="65">
        <f>IF(COUNTIF(ComprovantesNotas,"Não")&gt;0,"⚠  Existem notas sem comprovante guardado — separe os recibos e atualize a coluna na aba Notas.","✔  Todos os comprovantes das notas estão marcados como guardados.")</f>
        <v/>
      </c>
    </row>
    <row r="44" ht="26" customHeight="1">
      <c r="B44" s="65">
        <f>IF(COUNTA(Tributacoes)=0,"⚠  Cadastre seus informes e notas nas abas anteriores — o resumo se completa sozinho.","✔  Resumo calculado com "&amp;COUNTA(Tributacoes)&amp;" informes, "&amp;COUNTA(CategoriasNotas)&amp;" notas e "&amp;NumDependentes&amp;" dependente(s).")</f>
        <v/>
      </c>
    </row>
    <row r="45" ht="26" customHeight="1">
      <c r="B45" s="65">
        <f>IF(COUNTIF(SituacoesInformes,"Verificar")=0,"✔  Todos os informes estão marcados como OK ou Informada.","⚠  "&amp;COUNTIF(SituacoesInformes,"Verificar")&amp;" informe(s) marcado(s) como Verificar — baixe e confira o documento antes de fechar.")</f>
        <v/>
      </c>
    </row>
    <row r="46" ht="21" customHeight="1">
      <c r="B46" s="6" t="inlineStr">
        <is>
          <t>COMPARAÇÃO DOS MODELOS (para o gráfico)</t>
        </is>
      </c>
    </row>
    <row r="47">
      <c r="B47" s="7" t="inlineStr">
        <is>
          <t>Modelo</t>
        </is>
      </c>
      <c r="C47" s="7" t="inlineStr">
        <is>
          <t>Deduções (R$)</t>
        </is>
      </c>
      <c r="D47" s="7" t="inlineStr">
        <is>
          <t>Imposto (R$)</t>
        </is>
      </c>
    </row>
    <row r="48">
      <c r="B48" s="35" t="inlineStr">
        <is>
          <t>Completo (deduções legais)</t>
        </is>
      </c>
      <c r="C48" s="66">
        <f>C26</f>
        <v/>
      </c>
      <c r="D48" s="66">
        <f>C33</f>
        <v/>
      </c>
    </row>
    <row r="49">
      <c r="B49" s="35" t="inlineStr">
        <is>
          <t>Simplificado (20%)</t>
        </is>
      </c>
      <c r="C49" s="66">
        <f>C25</f>
        <v/>
      </c>
      <c r="D49" s="66">
        <f>C34</f>
        <v/>
      </c>
    </row>
    <row r="51">
      <c r="B51" s="67" t="inlineStr">
        <is>
          <t>Este resumo é um guia de organização — não substitui o programa da Receita nem a orientação de um contador.</t>
        </is>
      </c>
    </row>
  </sheetData>
  <mergeCells count="37">
    <mergeCell ref="D20:E20"/>
    <mergeCell ref="B40:E40"/>
    <mergeCell ref="D10:E10"/>
    <mergeCell ref="D19:E19"/>
    <mergeCell ref="B30:E30"/>
    <mergeCell ref="D22:E22"/>
    <mergeCell ref="B5:E5"/>
    <mergeCell ref="B24:E24"/>
    <mergeCell ref="B51:E51"/>
    <mergeCell ref="D31:E31"/>
    <mergeCell ref="D21:E21"/>
    <mergeCell ref="D6:E6"/>
    <mergeCell ref="B45:E45"/>
    <mergeCell ref="B41:E41"/>
    <mergeCell ref="B2:C2"/>
    <mergeCell ref="D2:E2"/>
    <mergeCell ref="D11:E11"/>
    <mergeCell ref="D32:E32"/>
    <mergeCell ref="B3:E3"/>
    <mergeCell ref="D17:E17"/>
    <mergeCell ref="B46:E46"/>
    <mergeCell ref="D16:E16"/>
    <mergeCell ref="D7:E7"/>
    <mergeCell ref="B43:E43"/>
    <mergeCell ref="C27:D27"/>
    <mergeCell ref="D37:E37"/>
    <mergeCell ref="D28:E28"/>
    <mergeCell ref="D18:E18"/>
    <mergeCell ref="D9:E9"/>
    <mergeCell ref="B42:E42"/>
    <mergeCell ref="D8:E8"/>
    <mergeCell ref="D25:E25"/>
    <mergeCell ref="D15:E15"/>
    <mergeCell ref="B13:E13"/>
    <mergeCell ref="B44:E44"/>
    <mergeCell ref="D14:E14"/>
    <mergeCell ref="D26:E26"/>
  </mergeCells>
  <conditionalFormatting sqref="B41:E45">
    <cfRule type="expression" priority="1" dxfId="6" stopIfTrue="0">
      <formula>ISNUMBER(SEARCH("⚠",$B41))</formula>
    </cfRule>
  </conditionalFormatting>
  <printOptions horizontalCentered="1"/>
  <pageMargins left="0.35" right="0.35" top="0.45" bottom="0.45" header="0.5" footer="0.5"/>
  <pageSetup orientation="portrait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2:I6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24" customWidth="1" min="3" max="3"/>
    <col width="26" customWidth="1" min="4" max="4"/>
    <col width="22" customWidth="1" min="5" max="5"/>
    <col width="24" customWidth="1" min="6" max="6"/>
    <col width="24" customWidth="1" min="7" max="7"/>
    <col width="12" customWidth="1" min="8" max="8"/>
    <col width="14" customWidth="1" min="9" max="9"/>
    <col width="2" customWidth="1" min="10" max="10"/>
  </cols>
  <sheetData>
    <row r="2" ht="30" customHeight="1">
      <c r="B2" s="17" t="inlineStr">
        <is>
          <t>AUXILIAR — LISTAS, PARÂMETROS FISCAIS E FORMATOS</t>
        </is>
      </c>
      <c r="H2" s="11">
        <f>VoltarAoMenu</f>
        <v/>
      </c>
    </row>
    <row r="3">
      <c r="A3" s="18" t="inlineStr">
        <is>
          <t>N A V E G A Ç Ã O</t>
        </is>
      </c>
      <c r="B3" s="19" t="inlineStr">
        <is>
          <t>Esta aba alimenta as listas suspensas e a tabela do imposto. Quando tudo estiver pronto, você pode ocultá-la: clique com o botão direito na aba » Ocultar.</t>
        </is>
      </c>
    </row>
    <row r="4" ht="26" customHeight="1">
      <c r="A4" s="7">
        <f>VoltarAoMenu</f>
        <v/>
      </c>
      <c r="B4" s="44" t="inlineStr">
        <is>
          <t>Tipos de rendimento</t>
        </is>
      </c>
      <c r="C4" s="44" t="inlineStr">
        <is>
          <t>Tributação</t>
        </is>
      </c>
      <c r="D4" s="44" t="inlineStr">
        <is>
          <t>Categorias de notas</t>
        </is>
      </c>
      <c r="E4" s="44" t="inlineStr">
        <is>
          <t>Formas de pagamento</t>
        </is>
      </c>
      <c r="F4" s="44" t="inlineStr">
        <is>
          <t>Bens e direitos</t>
        </is>
      </c>
      <c r="G4" s="44" t="inlineStr">
        <is>
          <t>Estado civil</t>
        </is>
      </c>
      <c r="H4" s="44" t="inlineStr">
        <is>
          <t>Parentesco / Sim-Não / Checklist / Situação</t>
        </is>
      </c>
      <c r="I4" s="44" t="inlineStr">
        <is>
          <t>UF</t>
        </is>
      </c>
    </row>
    <row r="5" ht="15" customHeight="1">
      <c r="A5" s="7">
        <f>HYPERLINK("#Titular!B2","TITULAR")</f>
        <v/>
      </c>
      <c r="B5" s="68" t="inlineStr">
        <is>
          <t>Salário</t>
        </is>
      </c>
      <c r="C5" s="68" t="inlineStr">
        <is>
          <t>Tributável</t>
        </is>
      </c>
      <c r="D5" s="68" t="inlineStr">
        <is>
          <t>Saúde</t>
        </is>
      </c>
      <c r="E5" s="68" t="inlineStr">
        <is>
          <t>PIX</t>
        </is>
      </c>
      <c r="F5" s="68" t="inlineStr">
        <is>
          <t>Imóvel</t>
        </is>
      </c>
      <c r="G5" s="68" t="inlineStr">
        <is>
          <t>Solteiro(a)</t>
        </is>
      </c>
      <c r="H5" s="68" t="inlineStr">
        <is>
          <t>Filho(a)</t>
        </is>
      </c>
      <c r="I5" s="68" t="inlineStr">
        <is>
          <t>AC</t>
        </is>
      </c>
    </row>
    <row r="6" ht="15" customHeight="1">
      <c r="A6" s="7">
        <f>HYPERLINK("#Informes!B2","INFORMES")</f>
        <v/>
      </c>
      <c r="B6" s="68" t="inlineStr">
        <is>
          <t>Pró-labore</t>
        </is>
      </c>
      <c r="C6" s="68" t="inlineStr">
        <is>
          <t>Isento</t>
        </is>
      </c>
      <c r="D6" s="68" t="inlineStr">
        <is>
          <t>Educação</t>
        </is>
      </c>
      <c r="E6" s="68" t="inlineStr">
        <is>
          <t>Cartão de crédito</t>
        </is>
      </c>
      <c r="F6" s="68" t="inlineStr">
        <is>
          <t>Terreno</t>
        </is>
      </c>
      <c r="G6" s="68" t="inlineStr">
        <is>
          <t>Casado(a)</t>
        </is>
      </c>
      <c r="H6" s="68" t="inlineStr">
        <is>
          <t>Enteado(a)</t>
        </is>
      </c>
      <c r="I6" s="68" t="inlineStr">
        <is>
          <t>AL</t>
        </is>
      </c>
    </row>
    <row r="7" ht="15" customHeight="1">
      <c r="A7" s="7">
        <f>HYPERLINK("#Notas!B2","NOTAS")</f>
        <v/>
      </c>
      <c r="B7" s="68" t="inlineStr">
        <is>
          <t>Autônomo / RPA</t>
        </is>
      </c>
      <c r="C7" s="68" t="inlineStr">
        <is>
          <t>Exclusiva na fonte</t>
        </is>
      </c>
      <c r="D7" s="68" t="inlineStr">
        <is>
          <t>Previdência privada (PGBL)</t>
        </is>
      </c>
      <c r="E7" s="68" t="inlineStr">
        <is>
          <t>Cartão de débito</t>
        </is>
      </c>
      <c r="F7" s="68" t="inlineStr">
        <is>
          <t>Veículo</t>
        </is>
      </c>
      <c r="G7" s="68" t="inlineStr">
        <is>
          <t>Divorciado(a)</t>
        </is>
      </c>
      <c r="H7" s="68" t="inlineStr">
        <is>
          <t>Cônjuge / Companheiro(a)</t>
        </is>
      </c>
      <c r="I7" s="68" t="inlineStr">
        <is>
          <t>AP</t>
        </is>
      </c>
    </row>
    <row r="8" ht="15" customHeight="1">
      <c r="A8" s="7">
        <f>HYPERLINK("#Bens!B2","BENS")</f>
        <v/>
      </c>
      <c r="B8" s="68" t="inlineStr">
        <is>
          <t>Aluguel recebido</t>
        </is>
      </c>
      <c r="D8" s="68" t="inlineStr">
        <is>
          <t>Pensão alimentícia</t>
        </is>
      </c>
      <c r="E8" s="68" t="inlineStr">
        <is>
          <t>Boleto</t>
        </is>
      </c>
      <c r="F8" s="68" t="inlineStr">
        <is>
          <t>Aplicação financeira</t>
        </is>
      </c>
      <c r="G8" s="68" t="inlineStr">
        <is>
          <t>Viúvo(a)</t>
        </is>
      </c>
      <c r="H8" s="68" t="inlineStr">
        <is>
          <t>Pai / Mãe</t>
        </is>
      </c>
      <c r="I8" s="68" t="inlineStr">
        <is>
          <t>AM</t>
        </is>
      </c>
    </row>
    <row r="9" ht="15" customHeight="1">
      <c r="A9" s="7">
        <f>HYPERLINK("#Resumo!B2","RESUMO")</f>
        <v/>
      </c>
      <c r="B9" s="68" t="inlineStr">
        <is>
          <t>Aposentadoria / Pensão</t>
        </is>
      </c>
      <c r="D9" s="68" t="inlineStr">
        <is>
          <t>Outras deduções</t>
        </is>
      </c>
      <c r="E9" s="68" t="inlineStr">
        <is>
          <t>Transferência</t>
        </is>
      </c>
      <c r="F9" s="68" t="inlineStr">
        <is>
          <t>Ações / FIIs</t>
        </is>
      </c>
      <c r="G9" s="68" t="inlineStr">
        <is>
          <t>União estável</t>
        </is>
      </c>
      <c r="H9" s="68" t="inlineStr">
        <is>
          <t>Outro</t>
        </is>
      </c>
      <c r="I9" s="68" t="inlineStr">
        <is>
          <t>BA</t>
        </is>
      </c>
    </row>
    <row r="10" ht="15" customHeight="1">
      <c r="A10" s="23">
        <f>HYPERLINK("#Auxiliar!B2","AUXILIAR")</f>
        <v/>
      </c>
      <c r="B10" s="68" t="inlineStr">
        <is>
          <t>Dividendos / Lucros</t>
        </is>
      </c>
      <c r="D10" s="68" t="inlineStr">
        <is>
          <t>Não dedutível</t>
        </is>
      </c>
      <c r="E10" s="68" t="inlineStr">
        <is>
          <t>Dinheiro</t>
        </is>
      </c>
      <c r="F10" s="68" t="inlineStr">
        <is>
          <t>Poupança / Conta</t>
        </is>
      </c>
      <c r="I10" s="68" t="inlineStr">
        <is>
          <t>CE</t>
        </is>
      </c>
    </row>
    <row r="11" ht="15" customHeight="1">
      <c r="B11" s="68" t="inlineStr">
        <is>
          <t>Juros e rendimentos de aplicações</t>
        </is>
      </c>
      <c r="D11" s="68" t="inlineStr">
        <is>
          <t>Doação / Incentivo</t>
        </is>
      </c>
      <c r="F11" s="68" t="inlineStr">
        <is>
          <t>Criptoativos</t>
        </is>
      </c>
      <c r="H11" s="69" t="inlineStr">
        <is>
          <t>Sim</t>
        </is>
      </c>
      <c r="I11" s="68" t="inlineStr">
        <is>
          <t>DF</t>
        </is>
      </c>
    </row>
    <row r="12" ht="15" customHeight="1">
      <c r="A12" s="29">
        <f>HYPERLINK("#Resumo!B2","«  Resumo")</f>
        <v/>
      </c>
      <c r="B12" s="68" t="inlineStr">
        <is>
          <t>Outros rendimentos</t>
        </is>
      </c>
      <c r="F12" s="68" t="inlineStr">
        <is>
          <t>Participação societária</t>
        </is>
      </c>
      <c r="H12" s="69" t="inlineStr">
        <is>
          <t>Não</t>
        </is>
      </c>
      <c r="I12" s="68" t="inlineStr">
        <is>
          <t>ES</t>
        </is>
      </c>
    </row>
    <row r="13" ht="15" customHeight="1">
      <c r="A13" s="29">
        <f>HYPERLINK("#Titular!B2","Titular  »")</f>
        <v/>
      </c>
      <c r="F13" s="68" t="inlineStr">
        <is>
          <t>Outros bens</t>
        </is>
      </c>
      <c r="I13" s="68" t="inlineStr">
        <is>
          <t>GO</t>
        </is>
      </c>
    </row>
    <row r="14" ht="15" customHeight="1">
      <c r="H14" s="69" t="inlineStr">
        <is>
          <t>✓  (separado)</t>
        </is>
      </c>
      <c r="I14" s="68" t="inlineStr">
        <is>
          <t>MA</t>
        </is>
      </c>
    </row>
    <row r="15" ht="15" customHeight="1">
      <c r="H15" s="69" t="inlineStr">
        <is>
          <t>—  (falta)</t>
        </is>
      </c>
      <c r="I15" s="68" t="inlineStr">
        <is>
          <t>MT</t>
        </is>
      </c>
    </row>
    <row r="16" ht="15" customHeight="1">
      <c r="I16" s="68" t="inlineStr">
        <is>
          <t>MS</t>
        </is>
      </c>
    </row>
    <row r="17" ht="15" customHeight="1">
      <c r="H17" s="69" t="inlineStr">
        <is>
          <t>OK</t>
        </is>
      </c>
      <c r="I17" s="68" t="inlineStr">
        <is>
          <t>MG</t>
        </is>
      </c>
    </row>
    <row r="18" ht="15" customHeight="1">
      <c r="H18" s="69" t="inlineStr">
        <is>
          <t>Informada</t>
        </is>
      </c>
      <c r="I18" s="68" t="inlineStr">
        <is>
          <t>PA</t>
        </is>
      </c>
    </row>
    <row r="19" ht="15" customHeight="1">
      <c r="H19" s="69" t="inlineStr">
        <is>
          <t>Verificar</t>
        </is>
      </c>
      <c r="I19" s="68" t="inlineStr">
        <is>
          <t>PB</t>
        </is>
      </c>
    </row>
    <row r="20" ht="15" customHeight="1">
      <c r="I20" s="68" t="inlineStr">
        <is>
          <t>PR</t>
        </is>
      </c>
    </row>
    <row r="21" ht="15" customHeight="1">
      <c r="I21" s="68" t="inlineStr">
        <is>
          <t>PE</t>
        </is>
      </c>
    </row>
    <row r="22" ht="15" customHeight="1">
      <c r="I22" s="68" t="inlineStr">
        <is>
          <t>PI</t>
        </is>
      </c>
    </row>
    <row r="23" ht="15" customHeight="1">
      <c r="I23" s="68" t="inlineStr">
        <is>
          <t>RJ</t>
        </is>
      </c>
    </row>
    <row r="24" ht="15" customHeight="1">
      <c r="I24" s="68" t="inlineStr">
        <is>
          <t>RN</t>
        </is>
      </c>
    </row>
    <row r="25" ht="15" customHeight="1">
      <c r="I25" s="68" t="inlineStr">
        <is>
          <t>RS</t>
        </is>
      </c>
    </row>
    <row r="26" ht="15" customHeight="1">
      <c r="I26" s="68" t="inlineStr">
        <is>
          <t>RO</t>
        </is>
      </c>
    </row>
    <row r="27" ht="15" customHeight="1">
      <c r="I27" s="68" t="inlineStr">
        <is>
          <t>RR</t>
        </is>
      </c>
    </row>
    <row r="28" ht="15" customHeight="1">
      <c r="I28" s="68" t="inlineStr">
        <is>
          <t>SC</t>
        </is>
      </c>
    </row>
    <row r="29" ht="15" customHeight="1">
      <c r="I29" s="68" t="inlineStr">
        <is>
          <t>SP</t>
        </is>
      </c>
    </row>
    <row r="30" ht="15" customHeight="1">
      <c r="I30" s="68" t="inlineStr">
        <is>
          <t>SE</t>
        </is>
      </c>
    </row>
    <row r="31" ht="15" customHeight="1">
      <c r="I31" s="68" t="inlineStr">
        <is>
          <t>TO</t>
        </is>
      </c>
    </row>
    <row r="34" ht="21" customHeight="1">
      <c r="B34" s="6" t="inlineStr">
        <is>
          <t>PARÂMETROS FISCAIS — confira e atualize conforme o ano da declaração</t>
        </is>
      </c>
    </row>
    <row r="35">
      <c r="B35" s="19" t="inlineStr">
        <is>
          <t>Os valores abaixo são referências das últimas declarações. Ajuste-os e todo o Resumo recalcula na hora.</t>
        </is>
      </c>
    </row>
    <row r="36" ht="26" customHeight="1">
      <c r="B36" s="20" t="inlineStr">
        <is>
          <t>Teto do desconto simplificado (R$)</t>
        </is>
      </c>
      <c r="C36" s="70" t="n">
        <v>16754.34</v>
      </c>
      <c r="D36" s="71" t="inlineStr">
        <is>
          <t>O desconto é 20% dos rendimentos tributáveis, limitado a este teto.</t>
        </is>
      </c>
    </row>
    <row r="37" ht="26" customHeight="1">
      <c r="B37" s="20" t="inlineStr">
        <is>
          <t>Valor por dependente (R$)</t>
        </is>
      </c>
      <c r="C37" s="70" t="n">
        <v>2275.08</v>
      </c>
      <c r="D37" s="71" t="inlineStr">
        <is>
          <t>Multiplicado pelo nº de dependentes do Titular.</t>
        </is>
      </c>
    </row>
    <row r="38" ht="26" customHeight="1">
      <c r="B38" s="20" t="inlineStr">
        <is>
          <t>Limite de educação por pessoa (R$)</t>
        </is>
      </c>
      <c r="C38" s="70" t="n">
        <v>3561.5</v>
      </c>
      <c r="D38" s="71" t="inlineStr">
        <is>
          <t>Vale por pessoa (titular + cada dependente) com despesa de educação.</t>
        </is>
      </c>
    </row>
    <row r="39" ht="26" customHeight="1">
      <c r="B39" s="20" t="inlineStr">
        <is>
          <t>Limite da previdência privada PGBL (% da renda)</t>
        </is>
      </c>
      <c r="C39" s="72" t="n">
        <v>0.12</v>
      </c>
      <c r="D39" s="71" t="inlineStr">
        <is>
          <t>Teto de 12% dos rendimentos tributáveis.</t>
        </is>
      </c>
    </row>
    <row r="41" ht="21" customHeight="1">
      <c r="B41" s="6" t="inlineStr">
        <is>
          <t>TABELA PROGRESSIVA DO IR — ANUAL (ano-base 2025 / declaração 2026)</t>
        </is>
      </c>
    </row>
    <row r="42" ht="26" customHeight="1">
      <c r="B42" s="44" t="inlineStr">
        <is>
          <t>Base de cálculo a partir de (R$)</t>
        </is>
      </c>
      <c r="C42" s="7" t="inlineStr">
        <is>
          <t>Alíquota</t>
        </is>
      </c>
      <c r="D42" s="44" t="inlineStr">
        <is>
          <t>Parcela a deduzir (R$)</t>
        </is>
      </c>
    </row>
    <row r="43" ht="16" customHeight="1">
      <c r="B43" s="46" t="n">
        <v>0</v>
      </c>
      <c r="C43" s="73" t="n">
        <v>0</v>
      </c>
      <c r="D43" s="46" t="n">
        <v>0</v>
      </c>
    </row>
    <row r="44" ht="16" customHeight="1">
      <c r="B44" s="46" t="n">
        <v>28467.21</v>
      </c>
      <c r="C44" s="73" t="n">
        <v>0.075</v>
      </c>
      <c r="D44" s="46" t="n">
        <v>2135.04</v>
      </c>
    </row>
    <row r="45" ht="16" customHeight="1">
      <c r="B45" s="46" t="n">
        <v>33919.81</v>
      </c>
      <c r="C45" s="73" t="n">
        <v>0.15</v>
      </c>
      <c r="D45" s="46" t="n">
        <v>4679.03</v>
      </c>
    </row>
    <row r="46" ht="16" customHeight="1">
      <c r="B46" s="46" t="n">
        <v>45012.61</v>
      </c>
      <c r="C46" s="73" t="n">
        <v>0.225</v>
      </c>
      <c r="D46" s="46" t="n">
        <v>8054.97</v>
      </c>
    </row>
    <row r="47" ht="16" customHeight="1">
      <c r="B47" s="46" t="n">
        <v>55976.17</v>
      </c>
      <c r="C47" s="73" t="n">
        <v>0.275</v>
      </c>
      <c r="D47" s="46" t="n">
        <v>10853.78</v>
      </c>
    </row>
    <row r="48">
      <c r="B48" s="19" t="inlineStr">
        <is>
          <t>Cada alíquota vale a partir do valor indicado (até a faixa seguinte). Cálculo: imposto = base × alíquota − parcela a deduzir — a faixa é achada pela função PROCURAR (LOOKUP) no Resumo.</t>
        </is>
      </c>
    </row>
    <row r="49">
      <c r="B49" s="67" t="inlineStr">
        <is>
          <t>Valores de referência do IR 2026 (ano-base 2025) — confirme a tabela vigente no site da Receita Federal antes de usar os números finais.</t>
        </is>
      </c>
    </row>
    <row r="51" ht="21" customHeight="1">
      <c r="B51" s="6" t="inlineStr">
        <is>
          <t>FORMATOS PERSONALIZADOS USADOS NESTA PLANILHA</t>
        </is>
      </c>
    </row>
    <row r="52" ht="17" customHeight="1">
      <c r="B52" s="74" t="inlineStr">
        <is>
          <t>CPF (000.000.000-00)</t>
        </is>
      </c>
      <c r="C52" s="75" t="n">
        <v>12345678909</v>
      </c>
    </row>
    <row r="53" ht="17" customHeight="1">
      <c r="B53" s="74" t="inlineStr">
        <is>
          <t>CNPJ (00.000.000/0000-00)</t>
        </is>
      </c>
      <c r="C53" s="76" t="n">
        <v>90400888000142</v>
      </c>
    </row>
    <row r="54" ht="17" customHeight="1">
      <c r="B54" s="74" t="inlineStr">
        <is>
          <t>CEP (00000-000)</t>
        </is>
      </c>
      <c r="C54" s="77" t="n">
        <v>76963000</v>
      </c>
    </row>
    <row r="55" ht="17" customHeight="1">
      <c r="B55" s="74" t="inlineStr">
        <is>
          <t>Telefone ((00) 00000-0000)</t>
        </is>
      </c>
      <c r="C55" s="78" t="n">
        <v>6991102030</v>
      </c>
    </row>
    <row r="56" ht="17" customHeight="1">
      <c r="B56" s="74" t="inlineStr">
        <is>
          <t>Valor em reais (R$ 1.234,56)</t>
        </is>
      </c>
      <c r="C56" s="70" t="n">
        <v>1234.56</v>
      </c>
    </row>
    <row r="57" ht="17" customHeight="1">
      <c r="B57" s="74" t="inlineStr">
        <is>
          <t>Percentual (12,00%)</t>
        </is>
      </c>
      <c r="C57" s="79" t="n">
        <v>0.12</v>
      </c>
    </row>
    <row r="58" ht="17" customHeight="1">
      <c r="B58" s="74" t="inlineStr">
        <is>
          <t>Data (dd/mm/aaaa)</t>
        </is>
      </c>
      <c r="C58" s="80">
        <f>DATE(1985,5,12)</f>
        <v/>
      </c>
    </row>
    <row r="60">
      <c r="B60" s="19" t="inlineStr">
        <is>
          <t>Como fazer: selecione a célula » Ctrl+1 » Personalizado » digite o código (ex.: 000"."000"."000"-"00"). O valor guardado continua sendo só números.</t>
        </is>
      </c>
    </row>
    <row r="62" ht="21" customHeight="1">
      <c r="B62" s="6" t="inlineStr">
        <is>
          <t>AJUDA RÁPIDA (as perguntas aparecem no menu suspenso da aba Menu)</t>
        </is>
      </c>
    </row>
    <row r="63" ht="44" customHeight="1">
      <c r="B63" s="81" t="inlineStr">
        <is>
          <t>Quais documentos devo separar para a declaração?</t>
        </is>
      </c>
      <c r="C63" s="82" t="inlineStr">
        <is>
          <t>Informes de rendimentos (empregador, bancos e corretora), informe de previdência, recibos de saúde e educação, comprovantes de PGBL e pensão, extratos de bens e direitos em 31/12 e a cópia da última declaração. Guarde os comprovantes por 5 anos.</t>
        </is>
      </c>
    </row>
    <row r="64" ht="44" customHeight="1">
      <c r="B64" s="81" t="inlineStr">
        <is>
          <t>Como funciona o desconto simplificado?</t>
        </is>
      </c>
      <c r="C64" s="82" t="inlineStr">
        <is>
          <t>Você entrega sem detalhar as deduções e a Receita aplica 20% de desconto sobre os rendimentos tributáveis, limitado ao teto do ano (veja em Auxiliar). O Resumo compara os dois modelos e mostra qual paga menos imposto.</t>
        </is>
      </c>
    </row>
    <row r="65" ht="44" customHeight="1">
      <c r="B65" s="81" t="inlineStr">
        <is>
          <t>O que é dedutível na aba Notas?</t>
        </is>
      </c>
      <c r="C65" s="82" t="inlineStr">
        <is>
          <t>Saúde (consultas, plano, dentista, exames), educação (dentro do limite por pessoa), previdência privada PGBL (até 12% da renda tributável), pensão alimentícia judicial e dependentes. Farmácia, academia, mercado e streaming NÃO são dedutíveis.</t>
        </is>
      </c>
    </row>
    <row r="66" ht="44" customHeight="1">
      <c r="B66" s="81" t="inlineStr">
        <is>
          <t>Meu CPF começa com zero. E agora?</t>
        </is>
      </c>
      <c r="C66" s="82" t="inlineStr">
        <is>
          <t>O formato personalizado mostra 000.000.000-00. Digite o CPF com o zero na frente: o Excel trata como texto e o formato continua legível — ou digite só os números e confira o resultado na célula.</t>
        </is>
      </c>
    </row>
    <row r="67" ht="44" customHeight="1">
      <c r="B67" s="81" t="inlineStr">
        <is>
          <t>Por que o imposto estimado pode diferir do oficial?</t>
        </is>
      </c>
      <c r="C67" s="82" t="inlineStr">
        <is>
          <t>A estimativa usa a tabela progressiva e os limites cadastrados em Auxiliar e consideram apenas o que você lançou aqui (não entram carnê-leão detalhado, ganhos de capital etc.). Use o Resumo como guia de preenchimento e confira no programa da Receita.</t>
        </is>
      </c>
    </row>
  </sheetData>
  <mergeCells count="16">
    <mergeCell ref="H2:I2"/>
    <mergeCell ref="C64:F64"/>
    <mergeCell ref="B2:F2"/>
    <mergeCell ref="B34:F34"/>
    <mergeCell ref="B48:F48"/>
    <mergeCell ref="B49:F49"/>
    <mergeCell ref="B62:F62"/>
    <mergeCell ref="B51:F51"/>
    <mergeCell ref="B60:F60"/>
    <mergeCell ref="B3:I3"/>
    <mergeCell ref="C67:F67"/>
    <mergeCell ref="C63:F63"/>
    <mergeCell ref="C65:F65"/>
    <mergeCell ref="B41:F41"/>
    <mergeCell ref="C66:F66"/>
    <mergeCell ref="B35:F35"/>
  </mergeCells>
  <printOptions horizontalCentered="1"/>
  <pageMargins left="0.35" right="0.35" top="0.45" bottom="0.4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2026-10-11T16:12:35Z</dcterms:created>
  <dcterms:modified xmlns:dcterms="http://purl.org/dc/terms/" xmlns:xsi="http://www.w3.org/2001/XMLSchema-instance" xsi:type="dcterms:W3CDTF">2026-10-11T16:12:35Z</dcterms:modified>
</cp:coreProperties>
</file>
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erfis" sheetId="3" state="visible" r:id="rId3"/>
    <sheet xmlns:r="http://schemas.openxmlformats.org/officeDocument/2006/relationships" name="Simulador" sheetId="4" state="visible" r:id="rId4"/>
    <sheet xmlns:r="http://schemas.openxmlformats.org/officeDocument/2006/relationships" name="Carteira" sheetId="5" state="visible" r:id="rId5"/>
  </sheets>
  <definedNames>
    <definedName name="RentabilidadeAnual">'Parâmetros'!$C$5</definedName>
    <definedName name="TaxaMensal">'Parâmetros'!$C$6</definedName>
    <definedName name="AporteInicial">'Parâmetros'!$C$7</definedName>
    <definedName name="AporteMensal">'Parâmetros'!$C$8</definedName>
    <definedName name="ValorFII">'Parâmetros'!$C$9</definedName>
    <definedName name="DividendYield">'Parâmetros'!$C$10</definedName>
    <definedName name="Perfil">'Parâmetros'!$C$11</definedName>
    <definedName name="PercentualInvestido">'Parâmetros'!$C$12</definedName>
    <definedName name="SalarioMinimo">'Parâmetros'!$C$13</definedName>
    <definedName name="CenarioAnos">'Parâmetros'!$C$17</definedName>
    <definedName name="CenarioDY">'Parâmetros'!$C$18</definedName>
    <definedName name="CenarioTaxa">'Parâmetros'!$C$19</definedName>
    <definedName name="CenarioTaxaMensal">'Parâmetros'!$C$20</definedName>
    <definedName name="UsarReserva">'Parâmetros'!$C$21</definedName>
    <definedName name="TabelaPerfis">Perfis!$B$4:$D$7</definedName>
    <definedName name="Anos">Simulador!$B$17:$B$46</definedName>
    <definedName name="Aportes">Simulador!$C$17:$C$46</definedName>
    <definedName name="PatrimonioEstimado">Simulador!$D$17:$D$46</definedName>
    <definedName name="DividendosNoAno">Simulador!$E$17:$E$46</definedName>
    <definedName name="DividendosAcumulados">Simulador!$F$17:$F$46</definedName>
    <definedName name="FatorDesconto">Simulador!$G$17:$G$46</definedName>
    <definedName name="DividendosPV">Simulador!$H$17:$H$46</definedName>
    <definedName name="DividendosAcumPV">Simulador!$I$17:$I$46</definedName>
    <definedName name="AporteDoPerfil">Simulador!$C$7</definedName>
    <definedName name="AporteInvestido">Simulador!$C$9</definedName>
    <definedName name="ReservaMensal">Simulador!$C$10</definedName>
    <definedName name="EnvelopeReserva">Simulador!$C$11</definedName>
    <definedName name="EnvelopeInvestido">Simulador!$C$13</definedName>
    <definedName name="AporteInicialInvestido">Simulador!$C$14</definedName>
    <definedName name="_xlnm.Print_Area" localSheetId="0">'Instruções'!$A$1:$D$120</definedName>
    <definedName name="_xlnm.Print_Area" localSheetId="1">'Parâmetros'!$A$1:$D$26</definedName>
    <definedName name="_xlnm.Print_Area" localSheetId="2">'Perfis'!$A$1:$G$30</definedName>
    <definedName name="_xlnm.Print_Area" localSheetId="3">'Simulador'!$A$1:$M$68</definedName>
    <definedName name="_xlnm.Print_Area" localSheetId="4">'Carteira'!$A$1:$L$30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0.0000"/>
    <numFmt numFmtId="166" formatCode="0.0%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B7A74"/>
      <sz val="9"/>
    </font>
    <font>
      <name val="Calibri"/>
      <b val="1"/>
      <color rgb="001F2D27"/>
      <sz val="11"/>
    </font>
    <font>
      <name val="Calibri"/>
      <b val="1"/>
      <color rgb="0016365C"/>
      <sz val="11"/>
    </font>
    <font>
      <name val="Calibri"/>
      <color rgb="001F2D27"/>
      <sz val="11"/>
    </font>
    <font>
      <name val="Calibri"/>
      <b val="1"/>
      <color rgb="00FFFFFF"/>
      <sz val="11"/>
    </font>
    <font>
      <name val="Calibri"/>
      <b val="1"/>
      <color rgb="0012513B"/>
      <sz val="11"/>
    </font>
    <font>
      <name val="Calibri"/>
      <color rgb="0014432F"/>
      <sz val="11"/>
    </font>
    <font>
      <name val="Calibri"/>
      <color rgb="003F4F49"/>
      <sz val="9"/>
    </font>
    <font>
      <name val="Calibri"/>
      <i val="1"/>
      <color rgb="006B7A74"/>
      <sz val="9.5"/>
    </font>
    <font>
      <name val="Calibri"/>
      <b val="1"/>
      <color rgb="00FFFFFF"/>
      <sz val="16"/>
    </font>
    <font>
      <name val="Calibri"/>
      <i val="1"/>
      <color rgb="006B7A74"/>
      <sz val="10"/>
    </font>
    <font>
      <name val="Calibri"/>
      <b val="1"/>
      <color rgb="001F2D27"/>
      <sz val="9.5"/>
    </font>
    <font>
      <name val="Calibri"/>
      <b val="1"/>
      <color rgb="00FFFFFF"/>
      <sz val="9.5"/>
    </font>
    <font>
      <name val="Calibri"/>
      <color rgb="001F2D27"/>
      <sz val="10"/>
    </font>
    <font>
      <name val="Calibri"/>
      <color rgb="001F2D27"/>
      <sz val="10.5"/>
    </font>
    <font>
      <name val="Calibri"/>
      <color rgb="000B6B45"/>
      <sz val="11"/>
    </font>
    <font>
      <name val="Calibri"/>
      <b val="1"/>
      <color rgb="000B3D2E"/>
      <sz val="10.5"/>
    </font>
    <font>
      <name val="Calibri"/>
      <b val="1"/>
      <color rgb="0014432F"/>
      <sz val="11"/>
    </font>
    <font>
      <name val="Calibri"/>
      <i val="1"/>
      <color rgb="003F4F49"/>
      <sz val="9"/>
    </font>
    <font>
      <name val="Calibri"/>
      <b val="1"/>
      <color rgb="00FFFFFF"/>
      <sz val="10"/>
    </font>
    <font>
      <name val="Calibri"/>
      <b val="1"/>
      <color rgb="001F2D27"/>
      <sz val="10"/>
    </font>
    <font>
      <name val="Calibri"/>
      <b val="1"/>
      <color rgb="00FFFFFF"/>
      <sz val="10.5"/>
    </font>
    <font>
      <name val="Calibri"/>
      <color rgb="00FFFFFF"/>
      <sz val="11"/>
    </font>
    <font>
      <name val="Calibri"/>
      <color rgb="001F2D27"/>
      <sz val="9.5"/>
    </font>
    <font>
      <name val="Calibri"/>
      <i val="1"/>
      <color rgb="0012513B"/>
      <sz val="10.5"/>
    </font>
    <font>
      <name val="Calibri"/>
      <b val="1"/>
      <color rgb="00FFFFFF"/>
      <sz val="9"/>
    </font>
    <font>
      <name val="Calibri"/>
      <color rgb="001F2D27"/>
      <sz val="9"/>
    </font>
    <font>
      <name val="Calibri"/>
      <i val="1"/>
      <color rgb="003F4F49"/>
      <sz val="9.5"/>
    </font>
  </fonts>
  <fills count="8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E7F1FB"/>
      </patternFill>
    </fill>
    <fill>
      <patternFill patternType="solid">
        <fgColor rgb="00F1F7F3"/>
      </patternFill>
    </fill>
    <fill>
      <patternFill patternType="solid">
        <fgColor rgb="0012513B"/>
      </patternFill>
    </fill>
    <fill>
      <patternFill patternType="solid">
        <fgColor rgb="00F8FBF9"/>
      </patternFill>
    </fill>
    <fill>
      <patternFill patternType="solid">
        <fgColor rgb="0000A868"/>
      </patternFill>
    </fill>
  </fills>
  <borders count="2">
    <border>
      <left/>
      <right/>
      <top/>
      <bottom/>
      <diagonal/>
    </border>
    <border>
      <left style="thin">
        <color rgb="00CFDCD6"/>
      </left>
      <right style="thin">
        <color rgb="00CFDCD6"/>
      </right>
      <top style="thin">
        <color rgb="00CFDCD6"/>
      </top>
      <bottom style="thin">
        <color rgb="00CFDCD6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1" fillId="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/>
    </xf>
    <xf numFmtId="0" fontId="27" fillId="5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 wrapText="1"/>
    </xf>
    <xf numFmtId="164" fontId="1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2" fontId="15" fillId="4" borderId="1" applyAlignment="1" pivotButton="0" quotePrefix="0" xfId="0">
      <alignment horizontal="center" vertical="center"/>
    </xf>
    <xf numFmtId="166" fontId="15" fillId="4" borderId="1" applyAlignment="1" pivotButton="0" quotePrefix="0" xfId="0">
      <alignment horizontal="center" vertical="center"/>
    </xf>
    <xf numFmtId="0" fontId="22" fillId="0" borderId="1" applyAlignment="1" pivotButton="0" quotePrefix="0" xfId="0">
      <alignment vertical="center"/>
    </xf>
    <xf numFmtId="0" fontId="28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vertical="center"/>
    </xf>
    <xf numFmtId="0" fontId="2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  <xf numFmtId="0" fontId="29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center"/>
    </xf>
    <xf numFmtId="10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0" fontId="5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" fontId="8" fillId="4" borderId="1" applyAlignment="1" pivotButton="0" quotePrefix="0" xfId="0">
      <alignment horizontal="center" vertical="center"/>
    </xf>
    <xf numFmtId="10" fontId="8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4" fontId="5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" fontId="16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4" fontId="1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16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7" fillId="4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right" vertical="center"/>
    </xf>
    <xf numFmtId="164" fontId="1" fillId="7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166" fontId="19" fillId="4" borderId="1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5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9" fontId="15" fillId="4" borderId="1" applyAlignment="1" pivotButton="0" quotePrefix="0" xfId="0">
      <alignment horizontal="center" vertical="center"/>
    </xf>
    <xf numFmtId="0" fontId="23" fillId="2" borderId="1" applyAlignment="1" pivotButton="0" quotePrefix="0" xfId="0">
      <alignment vertical="center" indent="1"/>
    </xf>
    <xf numFmtId="9" fontId="24" fillId="2" borderId="1" applyAlignment="1" pivotButton="0" quotePrefix="0" xfId="0">
      <alignment horizontal="center" vertical="center"/>
    </xf>
    <xf numFmtId="164" fontId="24" fillId="2" borderId="1" applyAlignment="1" pivotButton="0" quotePrefix="0" xfId="0">
      <alignment horizontal="center" vertical="center"/>
    </xf>
    <xf numFmtId="10" fontId="24" fillId="2" borderId="1" applyAlignment="1" pivotButton="0" quotePrefix="0" xfId="0">
      <alignment horizontal="center" vertical="center"/>
    </xf>
    <xf numFmtId="3" fontId="15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alibri"/>
        <i val="1"/>
        <color rgb="00B9C4BF"/>
      </font>
      <fill>
        <patternFill patternType="solid">
          <bgColor rgb="00F3F5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Aporte mensal do perfil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'Perfis'!$B$5:$B$7</f>
            </numRef>
          </cat>
          <val>
            <numRef>
              <f>'Perfis'!$D$5:$D$7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Dividendos projetados por ano (R$)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'Simulador'!$B$17:$B$46</f>
            </numRef>
          </cat>
          <val>
            <numRef>
              <f>'Simulador'!$E$17:$E$46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Patrimônio projetado por horizonte (R$)</a:t>
            </a:r>
          </a:p>
        </rich>
      </tx>
    </title>
    <plotArea>
      <lineChart>
        <grouping val="standard"/>
        <ser>
          <idx val="0"/>
          <order val="0"/>
          <tx>
            <strRef>
              <f>'Simulador'!D51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'Simulador'!$B$52:$B$58</f>
            </numRef>
          </cat>
          <val>
            <numRef>
              <f>'Simulador'!$D$52:$D$58</f>
            </numRef>
          </val>
        </ser>
        <ser>
          <idx val="1"/>
          <order val="1"/>
          <tx>
            <strRef>
              <f>'Simulador'!E51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'Simulador'!$B$52:$B$58</f>
            </numRef>
          </cat>
          <val>
            <numRef>
              <f>'Simulador'!$E$52:$E$58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Aporte mensal por classe de FII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'Carteira'!E5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'Carteira'!$B$6:$B$8</f>
            </numRef>
          </cat>
          <val>
            <numRef>
              <f>'Carteira'!$E$6:$E$8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Ferramenta FIIs</author>
  </authors>
  <commentList>
    <comment ref="C11" authorId="0" shapeId="0">
      <text>
        <t>Altere o perfil aqui. O Simulador e a Carteira usam PROCV para buscar
o percentual e o aporte do perfil na aba Perfis.</t>
      </text>
    </comment>
    <comment ref="C12" authorId="0" shapeId="0">
      <text>
        <t>Variável global (P4). Ex.: 85% = 15% do aporte do perfil vai para a reserva de
oportunidade (caixa) e 85% entra nos FIIs. A reserva acumulada é investida de uma vez
quando você marca S na célula C21.</t>
      </text>
    </comment>
    <comment ref="C21" authorId="0" shapeId="0">
      <text>
        <t>S = a reserva de 12 meses é investida de uma só vez no início da simulação
(cenário com alta na queda). N = a reserva continua em caixa, fora do cálculo.</t>
      </text>
    </comment>
  </commentList>
</comments>
</file>

<file path=xl/comments/comment2.xml><?xml version="1.0" encoding="utf-8"?>
<comments xmlns="http://schemas.openxmlformats.org/spreadsheetml/2006/main">
  <authors>
    <author>Ferramenta FIIs</author>
  </authors>
  <commentList>
    <comment ref="D4" authorId="0" shapeId="0">
      <text>
        <t>Esta coluna é a coluna 3 do intervalo TabelaPerfis e é o que o
PROCV devolve no Simulador e na Carteira.</t>
      </text>
    </comment>
    <comment ref="C6" authorId="0" shapeId="0">
      <text>
        <t>Percentual do aporte mensal cheio destinado ao perfil.
Conservador 15% • Moderado 70% • Agressivo 100%.</t>
      </text>
    </comment>
  </commentList>
</comments>
</file>

<file path=xl/comments/comment3.xml><?xml version="1.0" encoding="utf-8"?>
<comments xmlns="http://schemas.openxmlformats.org/spreadsheetml/2006/main">
  <authors>
    <author>Ferramenta FIIs</author>
  </authors>
  <commentList>
    <comment ref="C7" authorId="0" shapeId="0">
      <text>
        <t>PROCV: procura o perfil selecionado na 1ª coluna do intervalo
nomeado TabelaPerfis e devolve a 3ª coluna (aporte mensal do perfil).
=PROCV(Perfil;TabelaPerfis;3;0)</t>
      </text>
    </comment>
    <comment ref="C9" authorId="0" shapeId="0">
      <text>
        <t>Aporte mensal do perfil × P4 = o valor que realmente entra
nos FIIs. É a base do VF e dos dividendos.</t>
      </text>
    </comment>
    <comment ref="C13" authorId="0" shapeId="0">
      <text>
        <t>=SE(UsarReserva="S"; Reserva 12 meses; 0).
Investir a reserva no início aumenta o patrimônio final — compare na tabela (P4).</t>
      </text>
    </comment>
    <comment ref="L21" authorId="0" shapeId="0">
      <text>
        <t>SOMASE: soma os dividendos (coluna E) exatamente do ano escolhido
em Parâmetros C17. =SOMASE(Anos;CenarioAnos;DividendosNoAno)</t>
      </text>
    </comment>
    <comment ref="L24" authorId="0" shapeId="0">
      <text>
        <t>SOMARPRODUTO: multiplica cada dividendo pelo fator de desconto do seu ano
e soma tudo = valor presente. =SOMARPRODUTO(DividendosNoAno;FatorDesconto)</t>
      </text>
    </comment>
    <comment ref="D26" authorId="0" shapeId="0">
      <text>
        <t>Patrimônio estimado = aportes acumulados compostos a RentabilidadeAnual:
cada aporte rende (1+W) por ano desde que entrou. Serve de base para os dividendos.</t>
      </text>
    </comment>
    <comment ref="E26" authorId="0" shapeId="0">
      <text>
        <t>Dividendos do ano = patrimônio estimado × DY anual, em que
DY anual = (1 + DY mensal)^12 − 1 (juros compostos).</t>
      </text>
    </comment>
    <comment ref="D60" authorId="0" shapeId="0">
      <text>
        <t>Este é o patrimônio do cenário (VF). Muda quando você troca anos, taxa,
aporte, perfil, P4 ou o S/N da reserva.</t>
      </text>
    </comment>
  </commentList>
</comments>
</file>

<file path=xl/comments/comment4.xml><?xml version="1.0" encoding="utf-8"?>
<comments xmlns="http://schemas.openxmlformats.org/spreadsheetml/2006/main">
  <authors>
    <author>Ferramenta FIIs</author>
  </authors>
  <commentList>
    <comment ref="F6" authorId="0" shapeId="0">
      <text>
        <t>DY mensal estimado por classe (médias de mercado, ajustáveis):
tijolo ≈ 0,60%/mês • papel ≈ 1,00%/mês • híbridos ≈ 0,80%/mês.</t>
      </text>
    </comment>
    <comment ref="G9" authorId="0" shapeId="0">
      <text>
        <t>Estimativa de renda mensal da carteira: esse é o número que
financia os seus objetivos no longo prazo.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30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15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2E7D5B"/>
    <outlinePr summaryBelow="1" summaryRight="1"/>
    <pageSetUpPr fitToPage="1"/>
  </sheetPr>
  <dimension ref="B2:D83"/>
  <sheetViews>
    <sheetView showGridLines="0" tabSelected="1" workbookViewId="0">
      <selection activeCell="A1" sqref="A1"/>
    </sheetView>
  </sheetViews>
  <sheetFormatPr baseColWidth="8" defaultRowHeight="15"/>
  <cols>
    <col width="2" customWidth="1" min="1" max="1"/>
    <col width="62" customWidth="1" min="2" max="2"/>
    <col width="26" customWidth="1" min="3" max="3"/>
    <col width="40" customWidth="1" min="4" max="4"/>
  </cols>
  <sheetData>
    <row r="2" ht="30" customHeight="1">
      <c r="B2" s="1" t="inlineStr">
        <is>
          <t>CONTROLE DE INVESTIMENTOS EM FIIs — FERRAMENTA NO EXCEL</t>
        </is>
      </c>
    </row>
    <row r="3" ht="18" customHeight="1">
      <c r="B3" s="2" t="inlineStr">
        <is>
          <t>Desafio de Projeto • Criando uma Ferramenta de Controle de Investimentos com Excel • Santander Excel 2026 / DIO</t>
        </is>
      </c>
    </row>
    <row r="5" ht="22" customHeight="1">
      <c r="B5" s="3" t="inlineStr">
        <is>
          <t>O QUE A FERRAMENTA FAZ</t>
        </is>
      </c>
    </row>
    <row r="6" ht="18.5" customHeight="1">
      <c r="B6" s="4" t="inlineStr">
        <is>
          <t>•  Transforma o seu aporte mensal em uma projeção de patrimônio e de renda (dividendos) com FIIs.</t>
        </is>
      </c>
    </row>
    <row r="7" ht="18.5" customHeight="1">
      <c r="B7" s="4" t="inlineStr">
        <is>
          <t>•  Calcula o patrimônio com a função VF (valor futuro) e projeta a renda ano a ano, de 2 a 30 anos.</t>
        </is>
      </c>
    </row>
    <row r="8" ht="18.5" customHeight="1">
      <c r="B8" s="4" t="inlineStr">
        <is>
          <t>•  Divide o aporte conforme o seu perfil de investidor usando PROCV + tabela de apoio (aba Perfis).</t>
        </is>
      </c>
    </row>
    <row r="9" ht="18.5" customHeight="1">
      <c r="B9" s="4" t="inlineStr">
        <is>
          <t>•  Compara cenários: mudando horizonte, Dividend Yield e rentabilidade, os números recalculam.</t>
        </is>
      </c>
    </row>
    <row r="10" ht="18.5" customHeight="1">
      <c r="B10" s="4" t="inlineStr">
        <is>
          <t>•  Separa uma reserva de oportunidade (P4) para comprar FIIs nas quedas e mostra o ganho dela.</t>
        </is>
      </c>
    </row>
    <row r="12" ht="22" customHeight="1">
      <c r="B12" s="3" t="inlineStr">
        <is>
          <t>PERGUNTAS DE NEGÓCIO — RESPOSTAS AO VIVO (ligadas ao Simulador)</t>
        </is>
      </c>
    </row>
    <row r="13">
      <c r="B13" s="5" t="inlineStr">
        <is>
          <t>Pergunta</t>
        </is>
      </c>
      <c r="C13" s="5" t="inlineStr">
        <is>
          <t>Resposta</t>
        </is>
      </c>
      <c r="D13" s="6" t="inlineStr">
        <is>
          <t>Formato/onde</t>
        </is>
      </c>
    </row>
    <row r="14" ht="19" customHeight="1">
      <c r="B14" s="7" t="inlineStr">
        <is>
          <t>Quanto do meu aporte mensal vai para os FIIs?</t>
        </is>
      </c>
      <c r="C14" s="8">
        <f>Simulador!$C$9</f>
        <v/>
      </c>
      <c r="D14" s="9" t="inlineStr">
        <is>
          <t>aporte do perfil × P4</t>
        </is>
      </c>
    </row>
    <row r="15" ht="19" customHeight="1">
      <c r="B15" s="7" t="inlineStr">
        <is>
          <t>Quanto do meu aporte fica na reserva de oportunidade?</t>
        </is>
      </c>
      <c r="C15" s="8">
        <f>Simulador!$C$10</f>
        <v/>
      </c>
      <c r="D15" s="9" t="inlineStr">
        <is>
          <t>P4 complementar</t>
        </is>
      </c>
    </row>
    <row r="16" ht="19" customHeight="1">
      <c r="B16" s="7" t="inlineStr">
        <is>
          <t>Qual é o patrimônio projetado no horizonte escolhido?</t>
        </is>
      </c>
      <c r="C16" s="8">
        <f>Simulador!$D$60</f>
        <v/>
      </c>
      <c r="D16" s="9" t="inlineStr">
        <is>
          <t>VF do cenário</t>
        </is>
      </c>
    </row>
    <row r="17" ht="19" customHeight="1">
      <c r="B17" s="7" t="inlineStr">
        <is>
          <t>Quantos dividendos eu recebo no último ano do horizonte?</t>
        </is>
      </c>
      <c r="C17" s="8">
        <f>Simulador!$L$21</f>
        <v/>
      </c>
      <c r="D17" s="9" t="inlineStr">
        <is>
          <t>SOMASE por ano</t>
        </is>
      </c>
    </row>
    <row r="18" ht="19" customHeight="1">
      <c r="B18" s="7" t="inlineStr">
        <is>
          <t>E por mês, quanto isso representa?</t>
        </is>
      </c>
      <c r="C18" s="8">
        <f>Simulador!$L$22</f>
        <v/>
      </c>
      <c r="D18" s="9" t="inlineStr">
        <is>
          <t>÷ 12</t>
        </is>
      </c>
    </row>
    <row r="19" ht="19" customHeight="1">
      <c r="B19" s="7" t="inlineStr">
        <is>
          <t>Isso equivale a quantos salários mínimos por mês?</t>
        </is>
      </c>
      <c r="C19" s="10">
        <f>Simulador!$L$23</f>
        <v/>
      </c>
      <c r="D19" s="9" t="inlineStr">
        <is>
          <t>régua prática</t>
        </is>
      </c>
    </row>
    <row r="20" ht="19" customHeight="1">
      <c r="B20" s="7" t="inlineStr">
        <is>
          <t>Quanto valem hoje os dividendos de todo o horizonte?</t>
        </is>
      </c>
      <c r="C20" s="8">
        <f>Simulador!$L$24</f>
        <v/>
      </c>
      <c r="D20" s="9" t="inlineStr">
        <is>
          <t>SOMARPRODUTO (VP)</t>
        </is>
      </c>
    </row>
    <row r="21" ht="19" customHeight="1">
      <c r="B21" s="7" t="inlineStr">
        <is>
          <t>Quanto de dividendos eu terei acumulado até lá?</t>
        </is>
      </c>
      <c r="C21" s="8">
        <f>Simulador!$L$26</f>
        <v/>
      </c>
      <c r="D21" s="9" t="inlineStr">
        <is>
          <t>SOMASE acumulado</t>
        </is>
      </c>
    </row>
    <row r="22" ht="19" customHeight="1">
      <c r="B22" s="7" t="inlineStr">
        <is>
          <t>Quanto a reserva de oportunidade agrega de patrimônio?</t>
        </is>
      </c>
      <c r="C22" s="8">
        <f>Simulador!$D$61</f>
        <v/>
      </c>
      <c r="D22" s="9" t="inlineStr">
        <is>
          <t>S vs N</t>
        </is>
      </c>
    </row>
    <row r="23" ht="19" customHeight="1">
      <c r="B23" s="7" t="inlineStr">
        <is>
          <t>Qual é o retorno total projetado sobre o valor investido?</t>
        </is>
      </c>
      <c r="C23" s="11">
        <f>Simulador!$D$62</f>
        <v/>
      </c>
      <c r="D23" s="9" t="inlineStr">
        <is>
          <t>patrimônio ÷ investido − 1</t>
        </is>
      </c>
    </row>
    <row r="24" ht="19" customHeight="1">
      <c r="B24" s="7" t="inlineStr">
        <is>
          <t>Quanto de renda mensal a carteira geraria hoje?</t>
        </is>
      </c>
      <c r="C24" s="8">
        <f>Carteira!$G$9</f>
        <v/>
      </c>
      <c r="D24" s="9" t="inlineStr">
        <is>
          <t>DY por classe</t>
        </is>
      </c>
    </row>
    <row r="26" ht="22" customHeight="1">
      <c r="B26" s="3" t="inlineStr">
        <is>
          <t>COMO NAVEGAR</t>
        </is>
      </c>
    </row>
    <row r="28" ht="34" customHeight="1">
      <c r="B28" s="12" t="inlineStr">
        <is>
          <t>Parâmetros</t>
        </is>
      </c>
      <c r="C28" s="13" t="inlineStr">
        <is>
          <t>Todas as variáveis globais (aporte, perfil, P4, taxa) e o painel de cenários.</t>
        </is>
      </c>
      <c r="D28" s="14" t="inlineStr">
        <is>
          <t>células azuis</t>
        </is>
      </c>
    </row>
    <row r="29" ht="34" customHeight="1">
      <c r="B29" s="12" t="inlineStr">
        <is>
          <t>Perfis</t>
        </is>
      </c>
      <c r="C29" s="13" t="inlineStr">
        <is>
          <t>Tabela de apoio do PROCV: % e aporte de cada perfil de investidor.</t>
        </is>
      </c>
      <c r="D29" s="14" t="inlineStr">
        <is>
          <t>coluna % do aporte</t>
        </is>
      </c>
    </row>
    <row r="30" ht="34" customHeight="1">
      <c r="B30" s="12" t="inlineStr">
        <is>
          <t>Simulador</t>
        </is>
      </c>
      <c r="C30" s="13" t="inlineStr">
        <is>
          <t>P3: dividendos ano a ano (2 a 30 anos) e valor presente. P4: patrimônio com VF.</t>
        </is>
      </c>
      <c r="D30" s="14" t="inlineStr">
        <is>
          <t>só leitura (mexa em Parâmetros)</t>
        </is>
      </c>
    </row>
    <row r="31" ht="34" customHeight="1">
      <c r="B31" s="12" t="inlineStr">
        <is>
          <t>Carteira</t>
        </is>
      </c>
      <c r="C31" s="13" t="inlineStr">
        <is>
          <t>Divisão do aporte por classe de FII e renda mensal estimada.</t>
        </is>
      </c>
      <c r="D31" s="14" t="inlineStr">
        <is>
          <t>% e DY das classes</t>
        </is>
      </c>
    </row>
    <row r="32" ht="34" customHeight="1">
      <c r="B32" s="12" t="inlineStr">
        <is>
          <t>Instruções</t>
        </is>
      </c>
      <c r="C32" s="13" t="inlineStr">
        <is>
          <t>Este guia: respostas, passos, intervalos nomeados e checklist.</t>
        </is>
      </c>
      <c r="D32" s="14" t="inlineStr">
        <is>
          <t>—</t>
        </is>
      </c>
    </row>
    <row r="34" ht="22" customHeight="1">
      <c r="B34" s="3" t="inlineStr">
        <is>
          <t>OS CINCO PASSOS DO DESAFIO (como eu construí esta planilha)</t>
        </is>
      </c>
    </row>
    <row r="36" ht="32" customHeight="1">
      <c r="B36" s="15" t="inlineStr">
        <is>
          <t>1) Base da tabela — defina as colunas do simulador (ano, aporte, rendimento, dividendos, valor presente) e as variáveis globais.</t>
        </is>
      </c>
    </row>
    <row r="37" ht="18.5" customHeight="1">
      <c r="B37" s="15" t="inlineStr">
        <is>
          <t>2) Simulador de patrimônio — patrimônio = VF(taxa mensal; anos×12; −aporte mensal; −aporte inicial; 0).</t>
        </is>
      </c>
    </row>
    <row r="38" ht="18.5" customHeight="1">
      <c r="B38" s="15" t="inlineStr">
        <is>
          <t>3) Simulador de cenários — projete 2 a 30 anos e traga os valores a valor presente (1/(1+i)^n).</t>
        </is>
      </c>
    </row>
    <row r="39" ht="32" customHeight="1">
      <c r="B39" s="15" t="inlineStr">
        <is>
          <t>4) Variáveis globais e intervalos nomeados — nomeie as células-chave (RentabilidadeAnual, AporteMensal, P4...) e use os nomes nas fórmulas.</t>
        </is>
      </c>
    </row>
    <row r="40" ht="18.5" customHeight="1">
      <c r="B40" s="15" t="inlineStr">
        <is>
          <t>5) Perfil do investidor com PROCV — tabela de apoio (aba Perfis) + PROCV(Perfil;TabelaPerfis;3;0) para dividir o aporte.</t>
        </is>
      </c>
    </row>
    <row r="41" ht="18.5" customHeight="1">
      <c r="B41" s="15" t="inlineStr">
        <is>
          <t>＋) Uniformidade visual e fundos — cores por função (entrada/cálculo), faixas, zebra, formatos monetários e gráficos.</t>
        </is>
      </c>
    </row>
    <row r="43" ht="22" customHeight="1">
      <c r="B43" s="3" t="inlineStr">
        <is>
          <t>INTERVALOS NOMEADOS (Fórmulas ▸ Gerenciador de Nomes)</t>
        </is>
      </c>
    </row>
    <row r="44">
      <c r="B44" s="5" t="inlineStr">
        <is>
          <t>Nome</t>
        </is>
      </c>
      <c r="C44" s="5" t="inlineStr">
        <is>
          <t>Aponta para</t>
        </is>
      </c>
      <c r="D44" s="5" t="inlineStr">
        <is>
          <t>Para que serve</t>
        </is>
      </c>
    </row>
    <row r="45" ht="17" customHeight="1">
      <c r="B45" s="16" t="inlineStr">
        <is>
          <t>RentabilidadeAnual</t>
        </is>
      </c>
      <c r="C45" s="17" t="inlineStr">
        <is>
          <t>Parâmetros!C5</t>
        </is>
      </c>
      <c r="D45" s="18" t="inlineStr">
        <is>
          <t>taxa anual usada no rendimento do principal</t>
        </is>
      </c>
    </row>
    <row r="46" ht="17" customHeight="1">
      <c r="B46" s="16" t="inlineStr">
        <is>
          <t>TaxaMensal</t>
        </is>
      </c>
      <c r="C46" s="17" t="inlineStr">
        <is>
          <t>Parâmetros!C6</t>
        </is>
      </c>
      <c r="D46" s="18" t="inlineStr">
        <is>
          <t>taxa mensal equivalente (VF)</t>
        </is>
      </c>
    </row>
    <row r="47" ht="17" customHeight="1">
      <c r="B47" s="16" t="inlineStr">
        <is>
          <t>AporteInicial</t>
        </is>
      </c>
      <c r="C47" s="17" t="inlineStr">
        <is>
          <t>Parâmetros!C7</t>
        </is>
      </c>
      <c r="D47" s="18" t="inlineStr">
        <is>
          <t>valor aplicado no mês zero</t>
        </is>
      </c>
    </row>
    <row r="48" ht="17" customHeight="1">
      <c r="B48" s="16" t="inlineStr">
        <is>
          <t>AporteMensal</t>
        </is>
      </c>
      <c r="C48" s="17" t="inlineStr">
        <is>
          <t>Parâmetros!C8</t>
        </is>
      </c>
      <c r="D48" s="18" t="inlineStr">
        <is>
          <t>aporte mensal cheio (antes do perfil)</t>
        </is>
      </c>
    </row>
    <row r="49" ht="17" customHeight="1">
      <c r="B49" s="16" t="inlineStr">
        <is>
          <t>ValorFII</t>
        </is>
      </c>
      <c r="C49" s="17" t="inlineStr">
        <is>
          <t>Parâmetros!C9</t>
        </is>
      </c>
      <c r="D49" s="18" t="inlineStr">
        <is>
          <t>cotação do FII (cotas compradas)</t>
        </is>
      </c>
    </row>
    <row r="50" ht="17" customHeight="1">
      <c r="B50" s="16" t="inlineStr">
        <is>
          <t>DividendYield</t>
        </is>
      </c>
      <c r="C50" s="17" t="inlineStr">
        <is>
          <t>Parâmetros!C10</t>
        </is>
      </c>
      <c r="D50" s="18" t="inlineStr">
        <is>
          <t>DY mensal médio esperado</t>
        </is>
      </c>
    </row>
    <row r="51" ht="17" customHeight="1">
      <c r="B51" s="16" t="inlineStr">
        <is>
          <t>Perfil</t>
        </is>
      </c>
      <c r="C51" s="17" t="inlineStr">
        <is>
          <t>Parâmetros!C11</t>
        </is>
      </c>
      <c r="D51" s="18" t="inlineStr">
        <is>
          <t>perfil do investidor (chave do PROCV)</t>
        </is>
      </c>
    </row>
    <row r="52" ht="17" customHeight="1">
      <c r="B52" s="16" t="inlineStr">
        <is>
          <t>PercentualInvestido</t>
        </is>
      </c>
      <c r="C52" s="17" t="inlineStr">
        <is>
          <t>Parâmetros!C12</t>
        </is>
      </c>
      <c r="D52" s="18" t="inlineStr">
        <is>
          <t>variável P4: % do aporte que entra em FIIs</t>
        </is>
      </c>
    </row>
    <row r="53" ht="17" customHeight="1">
      <c r="B53" s="16" t="inlineStr">
        <is>
          <t>SalarioMinimo</t>
        </is>
      </c>
      <c r="C53" s="17" t="inlineStr">
        <is>
          <t>Parâmetros!C13</t>
        </is>
      </c>
      <c r="D53" s="18" t="inlineStr">
        <is>
          <t>régua dos dividendos em salários mínimos</t>
        </is>
      </c>
    </row>
    <row r="54" ht="17" customHeight="1">
      <c r="B54" s="16" t="inlineStr">
        <is>
          <t>CenarioAnos</t>
        </is>
      </c>
      <c r="C54" s="17" t="inlineStr">
        <is>
          <t>Parâmetros!C17</t>
        </is>
      </c>
      <c r="D54" s="18" t="inlineStr">
        <is>
          <t>horizonte do cenário (2 a 30 anos)</t>
        </is>
      </c>
    </row>
    <row r="55" ht="17" customHeight="1">
      <c r="B55" s="16" t="inlineStr">
        <is>
          <t>CenarioDY</t>
        </is>
      </c>
      <c r="C55" s="17" t="inlineStr">
        <is>
          <t>Parâmetros!C18</t>
        </is>
      </c>
      <c r="D55" s="18" t="inlineStr">
        <is>
          <t>Dividend Yield do cenário</t>
        </is>
      </c>
    </row>
    <row r="56" ht="17" customHeight="1">
      <c r="B56" s="16" t="inlineStr">
        <is>
          <t>CenarioTaxa</t>
        </is>
      </c>
      <c r="C56" s="17" t="inlineStr">
        <is>
          <t>Parâmetros!C19</t>
        </is>
      </c>
      <c r="D56" s="18" t="inlineStr">
        <is>
          <t>rentabilidade do cenário (taxa do VF)</t>
        </is>
      </c>
    </row>
    <row r="57" ht="17" customHeight="1">
      <c r="B57" s="16" t="inlineStr">
        <is>
          <t>CenarioTaxaMensal</t>
        </is>
      </c>
      <c r="C57" s="17" t="inlineStr">
        <is>
          <t>Parâmetros!C20</t>
        </is>
      </c>
      <c r="D57" s="18" t="inlineStr">
        <is>
          <t>taxa mensal do cenário</t>
        </is>
      </c>
    </row>
    <row r="58" ht="17" customHeight="1">
      <c r="B58" s="16" t="inlineStr">
        <is>
          <t>UsarReserva</t>
        </is>
      </c>
      <c r="C58" s="17" t="inlineStr">
        <is>
          <t>Parâmetros!C21</t>
        </is>
      </c>
      <c r="D58" s="18" t="inlineStr">
        <is>
          <t>S/N: investe a reserva de oportunidade no início</t>
        </is>
      </c>
    </row>
    <row r="59" ht="17" customHeight="1">
      <c r="B59" s="16" t="inlineStr">
        <is>
          <t>TabelaPerfis</t>
        </is>
      </c>
      <c r="C59" s="17" t="inlineStr">
        <is>
          <t>Perfis!B4:D7</t>
        </is>
      </c>
      <c r="D59" s="18" t="inlineStr">
        <is>
          <t>tabela de apoio do PROCV</t>
        </is>
      </c>
    </row>
    <row r="60" ht="17" customHeight="1">
      <c r="B60" s="16" t="inlineStr">
        <is>
          <t>Anos</t>
        </is>
      </c>
      <c r="C60" s="17" t="inlineStr">
        <is>
          <t>Simulador!B17:B46</t>
        </is>
      </c>
      <c r="D60" s="18" t="inlineStr">
        <is>
          <t>anos 1 a 30 (matriz do SOMARPRODUTO)</t>
        </is>
      </c>
    </row>
    <row r="61" ht="17" customHeight="1">
      <c r="B61" s="16" t="inlineStr">
        <is>
          <t>Aportes</t>
        </is>
      </c>
      <c r="C61" s="17" t="inlineStr">
        <is>
          <t>Simulador!C17:C46</t>
        </is>
      </c>
      <c r="D61" s="18" t="inlineStr">
        <is>
          <t>aportes do ano (P3)</t>
        </is>
      </c>
    </row>
    <row r="62" ht="17" customHeight="1">
      <c r="B62" s="16" t="inlineStr">
        <is>
          <t>PatrimonioEstimado</t>
        </is>
      </c>
      <c r="C62" s="17" t="inlineStr">
        <is>
          <t>Simulador!D17:D46</t>
        </is>
      </c>
      <c r="D62" s="18" t="inlineStr">
        <is>
          <t>base dos dividendos: aportes compostos</t>
        </is>
      </c>
    </row>
    <row r="63" ht="17" customHeight="1">
      <c r="B63" s="16" t="inlineStr">
        <is>
          <t>DividendosNoAno</t>
        </is>
      </c>
      <c r="C63" s="17" t="inlineStr">
        <is>
          <t>Simulador!E17:E46</t>
        </is>
      </c>
      <c r="D63" s="18" t="inlineStr">
        <is>
          <t>dividendos do ano (SOMASE/SOMARPRODUTO)</t>
        </is>
      </c>
    </row>
    <row r="64" ht="17" customHeight="1">
      <c r="B64" s="16" t="inlineStr">
        <is>
          <t>DividendosAcumulados</t>
        </is>
      </c>
      <c r="C64" s="17" t="inlineStr">
        <is>
          <t>Simulador!F17:F46</t>
        </is>
      </c>
      <c r="D64" s="18" t="inlineStr">
        <is>
          <t>dividendos acumulados até o ano</t>
        </is>
      </c>
    </row>
    <row r="65" ht="17" customHeight="1">
      <c r="B65" s="16" t="inlineStr">
        <is>
          <t>FatorDesconto</t>
        </is>
      </c>
      <c r="C65" s="17" t="inlineStr">
        <is>
          <t>Simulador!G17:G46</t>
        </is>
      </c>
      <c r="D65" s="18" t="inlineStr">
        <is>
          <t>fator de valor presente do cenário</t>
        </is>
      </c>
    </row>
    <row r="66" ht="17" customHeight="1">
      <c r="B66" s="16" t="inlineStr">
        <is>
          <t>DividendosPV</t>
        </is>
      </c>
      <c r="C66" s="17" t="inlineStr">
        <is>
          <t>Simulador!H17:H46</t>
        </is>
      </c>
      <c r="D66" s="18" t="inlineStr">
        <is>
          <t>dividendos do ano a valor presente</t>
        </is>
      </c>
    </row>
    <row r="67" ht="17" customHeight="1">
      <c r="B67" s="16" t="inlineStr">
        <is>
          <t>DividendosAcumPV</t>
        </is>
      </c>
      <c r="C67" s="17" t="inlineStr">
        <is>
          <t>Simulador!I17:I46</t>
        </is>
      </c>
      <c r="D67" s="18" t="inlineStr">
        <is>
          <t>dividendos acumulados a valor presente</t>
        </is>
      </c>
    </row>
    <row r="69" ht="22" customHeight="1">
      <c r="B69" s="3" t="inlineStr">
        <is>
          <t>CHECKLIST DA ENTREGA DO DESAFIO</t>
        </is>
      </c>
    </row>
    <row r="71" ht="18.5" customHeight="1">
      <c r="B71" s="15" t="inlineStr">
        <is>
          <t>☐ Planilha .xlsx com as abas Parâmetros, Perfis, Simulador, Carteira e Instruções</t>
        </is>
      </c>
    </row>
    <row r="72" ht="18.5" customHeight="1">
      <c r="B72" s="15" t="inlineStr">
        <is>
          <t>☐ Prints da ferramenta funcionando (pasta /prints deste projeto)</t>
        </is>
      </c>
    </row>
    <row r="73" ht="18.5" customHeight="1">
      <c r="B73" s="15" t="inlineStr">
        <is>
          <t>☐ Explicação de cada cálculo: VF, PROCV, SOMASE, SOMARPRODUTO, SE e valor presente</t>
        </is>
      </c>
    </row>
    <row r="74" ht="18.5" customHeight="1">
      <c r="B74" s="15" t="inlineStr">
        <is>
          <t>☐ Cenários de 2 a 30 anos projetados e comparados</t>
        </is>
      </c>
    </row>
    <row r="75" ht="18.5" customHeight="1">
      <c r="B75" s="15" t="inlineStr">
        <is>
          <t>☐ Intervalos nomeados criados e usados nas fórmulas</t>
        </is>
      </c>
    </row>
    <row r="76" ht="18.5" customHeight="1">
      <c r="B76" s="15" t="inlineStr">
        <is>
          <t>☐ Divisão do aporte por perfil de investidor (Conservador, Moderado, Agressivo)</t>
        </is>
      </c>
    </row>
    <row r="78" ht="22" customHeight="1">
      <c r="B78" s="3" t="inlineStr">
        <is>
          <t>OBSERVAÇÕES IMPORTANTES</t>
        </is>
      </c>
    </row>
    <row r="80" ht="18.5" customHeight="1">
      <c r="B80" s="19" t="inlineStr">
        <is>
          <t>•  FIIs (Brasil) não são a mesma coisa que REITs (EUA): aqui os proventos são mensais e isentos de IR para pessoa física (regra geral).</t>
        </is>
      </c>
    </row>
    <row r="81" ht="18.5" customHeight="1">
      <c r="B81" s="19" t="inlineStr">
        <is>
          <t>•  Os rendimentos de FIIs não são fixos: distribuições variam mês a mês e o valor da cota oscila. As projeções são hipóteses, não promessas.</t>
        </is>
      </c>
    </row>
    <row r="82" ht="18.5" customHeight="1">
      <c r="B82" s="19" t="inlineStr">
        <is>
          <t>•  Sempre reinvestir os dividendos acelera os juros compostos — é o que a projeção de dividendos por ano mostra.</t>
        </is>
      </c>
    </row>
    <row r="83" ht="18.5" customHeight="1">
      <c r="B83" s="19" t="inlineStr">
        <is>
          <t>•  Esta ferramenta é educacional e faz parte de um desafio de projeto; não constitui recomendação de investimento.</t>
        </is>
      </c>
    </row>
  </sheetData>
  <mergeCells count="30">
    <mergeCell ref="B8:D8"/>
    <mergeCell ref="B73:D73"/>
    <mergeCell ref="B82:D82"/>
    <mergeCell ref="B78:D78"/>
    <mergeCell ref="B69:D69"/>
    <mergeCell ref="B38:D38"/>
    <mergeCell ref="B34:D34"/>
    <mergeCell ref="B10:D10"/>
    <mergeCell ref="B37:D37"/>
    <mergeCell ref="B40:D40"/>
    <mergeCell ref="B9:D9"/>
    <mergeCell ref="B74:D74"/>
    <mergeCell ref="B83:D83"/>
    <mergeCell ref="B6:D6"/>
    <mergeCell ref="B5:D5"/>
    <mergeCell ref="B36:D36"/>
    <mergeCell ref="B76:D76"/>
    <mergeCell ref="B80:D80"/>
    <mergeCell ref="B41:D41"/>
    <mergeCell ref="B26:D26"/>
    <mergeCell ref="B75:D75"/>
    <mergeCell ref="B7:D7"/>
    <mergeCell ref="B81:D81"/>
    <mergeCell ref="B72:D72"/>
    <mergeCell ref="B3:D3"/>
    <mergeCell ref="B71:D71"/>
    <mergeCell ref="B43:D43"/>
    <mergeCell ref="B12:D12"/>
    <mergeCell ref="B39:D39"/>
    <mergeCell ref="B2:D2"/>
  </mergeCells>
  <printOptions horizontalCentered="1"/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00A868"/>
    <outlinePr summaryBelow="1" summaryRight="1"/>
    <pageSetUpPr fitToPage="1"/>
  </sheetPr>
  <dimension ref="B2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6" customWidth="1" min="3" max="3"/>
    <col width="54" customWidth="1" min="4" max="4"/>
  </cols>
  <sheetData>
    <row r="2" ht="30" customHeight="1">
      <c r="B2" s="20" t="inlineStr">
        <is>
          <t>PARÂMETROS GLOBAIS  •  edite as células azuis</t>
        </is>
      </c>
    </row>
    <row r="3" ht="14" customHeight="1">
      <c r="B3" s="21" t="inlineStr">
        <is>
          <t>Todas as outras abas leem estes valores por intervalos nomeados (Ex.: RentabilidadeAnual = C5). Mudou aqui, mudou em tudo.</t>
        </is>
      </c>
    </row>
    <row r="5" ht="30" customHeight="1">
      <c r="B5" s="22" t="inlineStr">
        <is>
          <t>Rentabilidade anual esperada dos FIIs</t>
        </is>
      </c>
      <c r="C5" s="23" t="n">
        <v>0.1</v>
      </c>
      <c r="D5" s="24" t="inlineStr">
        <is>
          <t>Retorno total esperado (valorização + reinvestimento). 10% a.a. é uma hipótese usual para simulações de longo prazo — ajuste ao seu cenário.</t>
        </is>
      </c>
    </row>
    <row r="6" ht="18.5" customHeight="1">
      <c r="B6" s="22" t="inlineStr">
        <is>
          <t>Taxa mensal equivalente (calculada)</t>
        </is>
      </c>
      <c r="C6" s="25">
        <f>(1+RentabilidadeAnual)^(1/12)-1</f>
        <v/>
      </c>
      <c r="D6" s="24" t="inlineStr">
        <is>
          <t>Taxa mensal equivalente à anual (juros compostos). É a taxa usada pelo VF.</t>
        </is>
      </c>
    </row>
    <row r="7" ht="18.5" customHeight="1">
      <c r="B7" s="22" t="inlineStr">
        <is>
          <t>Aporte inicial (R$)</t>
        </is>
      </c>
      <c r="C7" s="26" t="n">
        <v>1000</v>
      </c>
      <c r="D7" s="24" t="inlineStr">
        <is>
          <t>Valor aplicado no mês zero, antes dos aportes mensais.</t>
        </is>
      </c>
    </row>
    <row r="8" ht="30" customHeight="1">
      <c r="B8" s="22" t="inlineStr">
        <is>
          <t>Aporte mensal cheio (R$)</t>
        </is>
      </c>
      <c r="C8" s="26" t="n">
        <v>450</v>
      </c>
      <c r="D8" s="24" t="inlineStr">
        <is>
          <t>Quanto você separa por mês. A divisão por perfil é feita pelo PROCV (aba Perfis).</t>
        </is>
      </c>
    </row>
    <row r="9" ht="18.5" customHeight="1">
      <c r="B9" s="22" t="inlineStr">
        <is>
          <t>Cotação do FII no mercado (R$)</t>
        </is>
      </c>
      <c r="C9" s="26" t="n">
        <v>100</v>
      </c>
      <c r="D9" s="24" t="inlineStr">
        <is>
          <t>Preço unitário de referência para estimar quantas cotas o aporte compra.</t>
        </is>
      </c>
    </row>
    <row r="10" ht="30" customHeight="1">
      <c r="B10" s="22" t="inlineStr">
        <is>
          <t>Dividend Yield mensal médio esperado (%)</t>
        </is>
      </c>
      <c r="C10" s="23" t="n">
        <v>0.008</v>
      </c>
      <c r="D10" s="24" t="inlineStr">
        <is>
          <t>Rendimento mensal estimado sobre o patrimônio (0,80% ao mês ≈ 10% ao ano). FIIs não têm rendimento fixo: varia mês a mês.</t>
        </is>
      </c>
    </row>
    <row r="11" ht="30" customHeight="1">
      <c r="B11" s="22" t="inlineStr">
        <is>
          <t>Perfil do investidor</t>
        </is>
      </c>
      <c r="C11" s="27" t="inlineStr">
        <is>
          <t>Moderado</t>
        </is>
      </c>
      <c r="D11" s="24" t="inlineStr">
        <is>
          <t>Conservador (15% do aporte) • Moderado (70%) • Agressivo (100%). A coluna % do aporte fica na aba Perfis e é lida aqui pelo PROCV.</t>
        </is>
      </c>
    </row>
    <row r="12" ht="32" customHeight="1">
      <c r="B12" s="22" t="inlineStr">
        <is>
          <t>Percentual do aporte investido em FIIs — variável (P4)</t>
        </is>
      </c>
      <c r="C12" s="28" t="n">
        <v>0.85</v>
      </c>
      <c r="D12" s="24" t="inlineStr">
        <is>
          <t>Parte do aporte que entra nos FIIs agora; o restante fica na RESERVA DE OPORTUNIDADE (caixa) para comprar em quedas. Teste com responsabilidade.</t>
        </is>
      </c>
    </row>
    <row r="13" ht="18.5" customHeight="1">
      <c r="B13" s="22" t="inlineStr">
        <is>
          <t>Salário mínimo vigente (R$) — referência</t>
        </is>
      </c>
      <c r="C13" s="26" t="n">
        <v>1518</v>
      </c>
      <c r="D13" s="24" t="inlineStr">
        <is>
          <t>Usado como régua: quantos salários mínimos seus dividendos pagariam por mês.</t>
        </is>
      </c>
    </row>
    <row r="15" ht="8" customHeight="1"/>
    <row r="16" ht="22" customHeight="1">
      <c r="B16" s="3" t="inlineStr">
        <is>
          <t>SIMULADOR DE CENÁRIOS  •  3 eixos: horizonte de 2 a 30 anos, Dividend Yield e rentabilidade</t>
        </is>
      </c>
    </row>
    <row r="17" ht="30" customHeight="1">
      <c r="B17" s="29" t="inlineStr">
        <is>
          <t>Horizonte do cenário (anos)</t>
        </is>
      </c>
      <c r="C17" s="30" t="n">
        <v>10</v>
      </c>
      <c r="D17" s="24" t="inlineStr">
        <is>
          <t>Ande de 2 a 30 anos. O Simulador mostra a coluna de dividendos de cada ano e o resumo do ano escolhido.</t>
        </is>
      </c>
    </row>
    <row r="18" ht="30" customHeight="1">
      <c r="B18" s="29" t="inlineStr">
        <is>
          <t>Dividend Yield mensal do cenário (%)</t>
        </is>
      </c>
      <c r="C18" s="31">
        <f>DividendYield</f>
        <v/>
      </c>
      <c r="D18" s="24" t="inlineStr">
        <is>
          <t>Eixo 1: quanto o FII distribui por mês. O Simulador projeta os dividendos com ele.</t>
        </is>
      </c>
    </row>
    <row r="19" ht="30" customHeight="1">
      <c r="B19" s="29" t="inlineStr">
        <is>
          <t>Rentabilidade anual do cenário (%)</t>
        </is>
      </c>
      <c r="C19" s="31">
        <f>RentabilidadeAnual</f>
        <v/>
      </c>
      <c r="D19" s="24" t="inlineStr">
        <is>
          <t>Eixo 2: taxa de desconto / retorno esperado do cenário. É a taxa do VF (patrimônio).</t>
        </is>
      </c>
    </row>
    <row r="20" ht="18.5" customHeight="1">
      <c r="B20" s="29" t="inlineStr">
        <is>
          <t>Taxa mensal do cenário (calculada)</t>
        </is>
      </c>
      <c r="C20" s="31">
        <f>(1+CenarioTaxa)^(1/12)-1</f>
        <v/>
      </c>
      <c r="D20" s="24" t="inlineStr">
        <is>
          <t>Usada em todos os cálculos mensais do cenário (VF e valor presente).</t>
        </is>
      </c>
    </row>
    <row r="21" ht="30" customHeight="1">
      <c r="B21" s="29" t="inlineStr">
        <is>
          <t>Reserva de oportunidade investida no início? (S/N)</t>
        </is>
      </c>
      <c r="C21" s="27" t="inlineStr">
        <is>
          <t>N</t>
        </is>
      </c>
      <c r="D21" s="24" t="inlineStr">
        <is>
          <t>Marcar S só faz sentido se você realmente guarda dinheiro novo para as quedas. O ganho da reserva aparece no Simulador (P4).</t>
        </is>
      </c>
    </row>
    <row r="22" ht="14" customHeight="1">
      <c r="B22" s="21" t="inlineStr">
        <is>
          <t>Os valores de partida espelham os parâmetros globais — sobrescreva para testar hipóteses.</t>
        </is>
      </c>
    </row>
    <row r="24" ht="14" customHeight="1">
      <c r="B24" s="32" t="inlineStr">
        <is>
          <t>Legenda:  fundo azul = célula de entrada (mude aqui)   •   fundo verde-claro = cálculo automático</t>
        </is>
      </c>
    </row>
  </sheetData>
  <mergeCells count="5">
    <mergeCell ref="B3:D3"/>
    <mergeCell ref="B22:D22"/>
    <mergeCell ref="B2:D2"/>
    <mergeCell ref="B24:D24"/>
    <mergeCell ref="B16:D16"/>
  </mergeCells>
  <dataValidations count="2">
    <dataValidation sqref="C11" showDropDown="0" showInputMessage="0" showErrorMessage="1" allowBlank="0" errorTitle="Perfil inválido" error="Escolha Conservador, Moderado ou Agressivo." type="list">
      <formula1>"Conservador,Moderado,Agressivo"</formula1>
    </dataValidation>
    <dataValidation sqref="C21" showDropDown="0" showInputMessage="0" showErrorMessage="1" allowBlank="0" type="list">
      <formula1>"S,N"</formula1>
    </dataValidation>
  </dataValidations>
  <printOptions horizontalCentered="1"/>
  <pageMargins left="0.4" right="0.4" top="0.5" bottom="0.5" header="0.5" footer="0.5"/>
  <pageSetup orientation="portrait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C9A8B"/>
    <outlinePr summaryBelow="1" summaryRight="1"/>
    <pageSetUpPr fitToPage="1"/>
  </sheetPr>
  <dimension ref="B2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2" customWidth="1" min="4" max="4"/>
    <col width="22" customWidth="1" min="5" max="5"/>
    <col width="18" customWidth="1" min="6" max="6"/>
    <col width="52" customWidth="1" min="7" max="7"/>
  </cols>
  <sheetData>
    <row r="2" ht="30" customHeight="1">
      <c r="B2" s="20" t="inlineStr">
        <is>
          <t>PERFIS DE INVESTIDOR  •  tabela de apoio do PROCV</t>
        </is>
      </c>
    </row>
    <row r="3" ht="14" customHeight="1">
      <c r="B3" s="21" t="inlineStr">
        <is>
          <t>Intervalo nomeado TabelaPerfis = B4:D7. O PROCV busca o aporte mensal já filtrado pelo perfil (coluna 3 da tabela).</t>
        </is>
      </c>
    </row>
    <row r="4" ht="32" customHeight="1">
      <c r="B4" s="33" t="inlineStr">
        <is>
          <t>Perfil de investidor</t>
        </is>
      </c>
      <c r="C4" s="33" t="inlineStr">
        <is>
          <t>% do aporte</t>
        </is>
      </c>
      <c r="D4" s="33" t="inlineStr">
        <is>
          <t>Aporte mensal do perfil (R$)</t>
        </is>
      </c>
      <c r="E4" s="33" t="inlineStr">
        <is>
          <t>Aporte investido após P4 (R$)</t>
        </is>
      </c>
      <c r="F4" s="33" t="inlineStr">
        <is>
          <t>Reserva de oportunidade (R$/mês)</t>
        </is>
      </c>
      <c r="G4" s="33" t="inlineStr">
        <is>
          <t>Diretriz</t>
        </is>
      </c>
    </row>
    <row r="5" ht="26" customHeight="1">
      <c r="B5" s="34" t="inlineStr">
        <is>
          <t>Conservador</t>
        </is>
      </c>
      <c r="C5" s="28" t="n">
        <v>0.15</v>
      </c>
      <c r="D5" s="35">
        <f>AporteMensal*$C5</f>
        <v/>
      </c>
      <c r="E5" s="35">
        <f>$D5*PercentualInvestido</f>
        <v/>
      </c>
      <c r="F5" s="35">
        <f>$D5-$E5</f>
        <v/>
      </c>
      <c r="G5" s="36" t="inlineStr">
        <is>
          <t>Preserva capital: prioriza FIIs de papel (CRI) e mantém reserva maior.</t>
        </is>
      </c>
    </row>
    <row r="6" ht="26" customHeight="1">
      <c r="B6" s="34" t="inlineStr">
        <is>
          <t>Moderado</t>
        </is>
      </c>
      <c r="C6" s="28" t="n">
        <v>0.7</v>
      </c>
      <c r="D6" s="35">
        <f>AporteMensal*$C6</f>
        <v/>
      </c>
      <c r="E6" s="35">
        <f>$D6*PercentualInvestido</f>
        <v/>
      </c>
      <c r="F6" s="35">
        <f>$D6-$E6</f>
        <v/>
      </c>
      <c r="G6" s="36" t="inlineStr">
        <is>
          <t>Equilibra tijolo e papel; usa a reserva para as quedas.</t>
        </is>
      </c>
    </row>
    <row r="7" ht="26" customHeight="1">
      <c r="B7" s="34" t="inlineStr">
        <is>
          <t>Agressivo</t>
        </is>
      </c>
      <c r="C7" s="28" t="n">
        <v>1</v>
      </c>
      <c r="D7" s="35">
        <f>AporteMensal*$C7</f>
        <v/>
      </c>
      <c r="E7" s="35">
        <f>$D7*PercentualInvestido</f>
        <v/>
      </c>
      <c r="F7" s="35">
        <f>$D7-$E7</f>
        <v/>
      </c>
      <c r="G7" s="36" t="inlineStr">
        <is>
          <t>Foca em tijolo/híbridos e reinveste praticamente todo o aporte.</t>
        </is>
      </c>
    </row>
    <row r="9" ht="8" customHeight="1"/>
    <row r="10" ht="22" customHeight="1">
      <c r="B10" s="3" t="inlineStr">
        <is>
          <t>(P4)  DIVISÃO DO APORTE POR PERFIL — exemplo numérico ao vivo</t>
        </is>
      </c>
    </row>
    <row r="11">
      <c r="B11" s="29" t="inlineStr">
        <is>
          <t>Aporte mensal cheio (Parâmetros)</t>
        </is>
      </c>
      <c r="C11" s="37">
        <f>AporteMensal</f>
        <v/>
      </c>
      <c r="D11" s="38" t="inlineStr">
        <is>
          <t>Comece pelo aporte cheio do mês.</t>
        </is>
      </c>
    </row>
    <row r="12">
      <c r="B12" s="29" t="inlineStr">
        <is>
          <t>Aporte do perfil — PROCV(TabelaPerfis; 3)</t>
        </is>
      </c>
      <c r="C12" s="37">
        <f>VLOOKUP(Perfil,TabelaPerfis,3,0)</f>
        <v/>
      </c>
      <c r="D12" s="38" t="inlineStr">
        <is>
          <t>O PROCV usa o intervalo nomeado TabelaPerfis: troca de perfil ⇒ troca o valor.</t>
        </is>
      </c>
    </row>
    <row r="13">
      <c r="B13" s="29" t="inlineStr">
        <is>
          <t>→ Investido agora nos FIIs (× P4)</t>
        </is>
      </c>
      <c r="C13" s="37">
        <f>C12*PercentualInvestido</f>
        <v/>
      </c>
      <c r="D13" s="38" t="inlineStr">
        <is>
          <t>O percentual investido vem da variável P4 (Parâmetros C12).</t>
        </is>
      </c>
    </row>
    <row r="14">
      <c r="B14" s="29" t="inlineStr">
        <is>
          <t>→ Reserva de oportunidade (fica em caixa)</t>
        </is>
      </c>
      <c r="C14" s="37">
        <f>C12-C13</f>
        <v/>
      </c>
      <c r="D14" s="38" t="inlineStr">
        <is>
          <t>A reserva só entra no cálculo se você marcar S em Parâmetros (C21).</t>
        </is>
      </c>
    </row>
    <row r="16" ht="14" customHeight="1">
      <c r="B16" s="39" t="inlineStr">
        <is>
          <t>Troque o perfil em Parâmetros (C11): esta tabela, o Simulador e a Carteira recalculam sozinhos — é o PROCV trabalhando.</t>
        </is>
      </c>
    </row>
  </sheetData>
  <mergeCells count="4">
    <mergeCell ref="B3:G3"/>
    <mergeCell ref="B2:G2"/>
    <mergeCell ref="B10:G10"/>
    <mergeCell ref="B16:G16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B2:M6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7" customWidth="1" min="3" max="3"/>
    <col width="19" customWidth="1" min="4" max="4"/>
    <col width="19" customWidth="1" min="5" max="5"/>
    <col width="19" customWidth="1" min="6" max="6"/>
    <col width="16" customWidth="1" min="7" max="7"/>
    <col width="19" customWidth="1" min="8" max="8"/>
    <col width="19" customWidth="1" min="9" max="9"/>
    <col width="2" customWidth="1" min="10" max="10"/>
    <col width="46" customWidth="1" min="11" max="11"/>
    <col width="18" customWidth="1" min="12" max="12"/>
    <col width="2" customWidth="1" min="13" max="13"/>
  </cols>
  <sheetData>
    <row r="2" ht="30" customHeight="1">
      <c r="B2" s="1" t="inlineStr">
        <is>
          <t>SIMULADOR DE INVESTIMENTOS EM FIIs</t>
        </is>
      </c>
    </row>
    <row r="3" ht="14" customHeight="1">
      <c r="B3" s="40" t="inlineStr">
        <is>
          <t>Passo 3 (dividendos ano a ano) + Passo 4 (patrimônio com VF) + perfil do investidor via PROCV + reserva de oportunidade. Edite tudo na aba Parâmetros.</t>
        </is>
      </c>
    </row>
    <row r="5" ht="22" customHeight="1">
      <c r="B5" s="3" t="inlineStr">
        <is>
          <t>FILTRO DO PERFIL  (Passo 4 — PROCV)</t>
        </is>
      </c>
      <c r="E5" s="3" t="inlineStr">
        <is>
          <t>RESUMO DOS PARÂMETROS DO CENÁRIO</t>
        </is>
      </c>
    </row>
    <row r="6" ht="26" customHeight="1">
      <c r="B6" s="41" t="inlineStr">
        <is>
          <t>Perfil selecionado (Parâmetros C11)</t>
        </is>
      </c>
      <c r="C6" s="42">
        <f>Perfil</f>
        <v/>
      </c>
      <c r="E6" s="41" t="inlineStr">
        <is>
          <t>Valor aplicado no início (R$)</t>
        </is>
      </c>
      <c r="F6" s="35">
        <f>AporteInicial</f>
        <v/>
      </c>
    </row>
    <row r="7" ht="26" customHeight="1">
      <c r="B7" s="41" t="inlineStr">
        <is>
          <t>Aporte mensal do perfil — PROCV(TabelaPerfis; 3)</t>
        </is>
      </c>
      <c r="C7" s="35">
        <f>VLOOKUP(Perfil,TabelaPerfis,3,0)</f>
        <v/>
      </c>
      <c r="E7" s="41" t="inlineStr">
        <is>
          <t>Horizonte do cenário (anos)</t>
        </is>
      </c>
      <c r="F7" s="43">
        <f>CenarioAnos</f>
        <v/>
      </c>
    </row>
    <row r="8" ht="26" customHeight="1">
      <c r="B8" s="41" t="inlineStr">
        <is>
          <t>Percentual investido em FIIs (variável P4)</t>
        </is>
      </c>
      <c r="C8" s="44">
        <f>PercentualInvestido</f>
        <v/>
      </c>
      <c r="E8" s="41" t="inlineStr">
        <is>
          <t>Rentabilidade anual do cenário</t>
        </is>
      </c>
      <c r="F8" s="25">
        <f>CenarioTaxa</f>
        <v/>
      </c>
    </row>
    <row r="9" ht="26" customHeight="1">
      <c r="B9" s="41" t="inlineStr">
        <is>
          <t>Aporte mensal investido em FIIs (base de tudo)</t>
        </is>
      </c>
      <c r="C9" s="35">
        <f>$C$7*$C$8</f>
        <v/>
      </c>
      <c r="E9" s="41" t="inlineStr">
        <is>
          <t>Dividend Yield mensal do cenário</t>
        </is>
      </c>
      <c r="F9" s="25">
        <f>CenarioDY</f>
        <v/>
      </c>
    </row>
    <row r="10" ht="26" customHeight="1">
      <c r="B10" s="41" t="inlineStr">
        <is>
          <t>Reserva de oportunidade (mensal)</t>
        </is>
      </c>
      <c r="C10" s="35">
        <f>$C$7-$C$9</f>
        <v/>
      </c>
      <c r="E10" s="41" t="inlineStr">
        <is>
          <t>Cotação do FII (R$)</t>
        </is>
      </c>
      <c r="F10" s="35">
        <f>ValorFII</f>
        <v/>
      </c>
    </row>
    <row r="11" ht="26" customHeight="1">
      <c r="B11" s="41" t="inlineStr">
        <is>
          <t>Reserva acumulada em 12 meses (envelope)</t>
        </is>
      </c>
      <c r="C11" s="35">
        <f>$C$10*12</f>
        <v/>
      </c>
      <c r="E11" s="41" t="inlineStr">
        <is>
          <t>Cotas compradas por mês (aprox.)</t>
        </is>
      </c>
      <c r="F11" s="45">
        <f>ROUNDDOWN($C$9/ValorFII,0)</f>
        <v/>
      </c>
    </row>
    <row r="12">
      <c r="B12" s="41" t="inlineStr">
        <is>
          <t>Reserva de oportunidade é investida? (S/N)</t>
        </is>
      </c>
      <c r="C12" s="42">
        <f>UsarReserva</f>
        <v/>
      </c>
    </row>
    <row r="13">
      <c r="B13" s="41" t="inlineStr">
        <is>
          <t>Envelope investido no início (N ⇒ R$ 0)</t>
        </is>
      </c>
      <c r="C13" s="35">
        <f>IF(UsarReserva="S",$C$11,0)</f>
        <v/>
      </c>
    </row>
    <row r="14">
      <c r="B14" s="41" t="inlineStr">
        <is>
          <t>Aporte inicial investido (× P4)</t>
        </is>
      </c>
      <c r="C14" s="35">
        <f>AporteInicial*$C$8</f>
        <v/>
      </c>
    </row>
    <row r="15" ht="22" customHeight="1">
      <c r="B15" s="3" t="inlineStr">
        <is>
          <t>P3 • SIMULADOR DE DIVIDENDOS POR HORIZONTE — 2 a 30 anos</t>
        </is>
      </c>
    </row>
    <row r="16" ht="34" customHeight="1">
      <c r="B16" s="46" t="inlineStr">
        <is>
          <t>Ano
do horizonte</t>
        </is>
      </c>
      <c r="C16" s="46" t="inlineStr">
        <is>
          <t>Aportes do ano
(R$)</t>
        </is>
      </c>
      <c r="D16" s="46" t="inlineStr">
        <is>
          <t>Patrimônio estimado
no fim do ano (R$)</t>
        </is>
      </c>
      <c r="E16" s="46" t="inlineStr">
        <is>
          <t>Dividendos do ano
(R$)</t>
        </is>
      </c>
      <c r="F16" s="46" t="inlineStr">
        <is>
          <t>Dividendos acumulados
(R$)</t>
        </is>
      </c>
      <c r="G16" s="46" t="inlineStr">
        <is>
          <t>Fator de desconto
1/(1+i)^n</t>
        </is>
      </c>
      <c r="H16" s="46" t="inlineStr">
        <is>
          <t>Dividendos do ano
a valor presente</t>
        </is>
      </c>
      <c r="I16" s="46" t="inlineStr">
        <is>
          <t>Dividendos acumulados
a valor presente</t>
        </is>
      </c>
      <c r="K16" s="3" t="inlineStr">
        <is>
          <t>RESUMO DO CENÁRIO (P3)</t>
        </is>
      </c>
    </row>
    <row r="17" ht="17" customHeight="1">
      <c r="B17" s="47" t="n">
        <v>1</v>
      </c>
      <c r="C17" s="35">
        <f>IF($B17&lt;=CenarioAnos,AporteInvestido*12,0)+IF($B17=1,AporteInicialInvestido,0)</f>
        <v/>
      </c>
      <c r="D17" s="35">
        <f>IF($B17&lt;=CenarioAnos,SUMPRODUCT((Anos&lt;=$B17)*Aportes*(1+RentabilidadeAnual)^($B17-Anos)),0)</f>
        <v/>
      </c>
      <c r="E17" s="35">
        <f>D17*((1+CenarioDY)^12-1)</f>
        <v/>
      </c>
      <c r="F17" s="35">
        <f>SUM($E$17:E17)</f>
        <v/>
      </c>
      <c r="G17" s="48">
        <f>1/(1+CenarioTaxa)^$B17</f>
        <v/>
      </c>
      <c r="H17" s="35">
        <f>E17*G17</f>
        <v/>
      </c>
      <c r="I17" s="35">
        <f>SUM($H$17:H17)</f>
        <v/>
      </c>
      <c r="K17" s="7" t="inlineStr">
        <is>
          <t>Horizonte selecionado (anos)</t>
        </is>
      </c>
      <c r="L17" s="49">
        <f>CenarioAnos</f>
        <v/>
      </c>
    </row>
    <row r="18" ht="17" customHeight="1">
      <c r="B18" s="50" t="n">
        <v>2</v>
      </c>
      <c r="C18" s="51">
        <f>IF($B18&lt;=CenarioAnos,AporteInvestido*12,0)+IF($B18=1,AporteInicialInvestido,0)</f>
        <v/>
      </c>
      <c r="D18" s="51">
        <f>IF($B18&lt;=CenarioAnos,SUMPRODUCT((Anos&lt;=$B18)*Aportes*(1+RentabilidadeAnual)^($B18-Anos)),0)</f>
        <v/>
      </c>
      <c r="E18" s="51">
        <f>D18*((1+CenarioDY)^12-1)</f>
        <v/>
      </c>
      <c r="F18" s="51">
        <f>SUM($E$17:E18)</f>
        <v/>
      </c>
      <c r="G18" s="52">
        <f>1/(1+CenarioTaxa)^$B18</f>
        <v/>
      </c>
      <c r="H18" s="51">
        <f>E18*G18</f>
        <v/>
      </c>
      <c r="I18" s="51">
        <f>SUM($H$17:H18)</f>
        <v/>
      </c>
      <c r="K18" s="7" t="inlineStr">
        <is>
          <t>Aporte mensal investido (R$)</t>
        </is>
      </c>
      <c r="L18" s="53">
        <f>AporteInvestido</f>
        <v/>
      </c>
    </row>
    <row r="19" ht="17" customHeight="1">
      <c r="B19" s="47" t="n">
        <v>3</v>
      </c>
      <c r="C19" s="35">
        <f>IF($B19&lt;=CenarioAnos,AporteInvestido*12,0)+IF($B19=1,AporteInicialInvestido,0)</f>
        <v/>
      </c>
      <c r="D19" s="35">
        <f>IF($B19&lt;=CenarioAnos,SUMPRODUCT((Anos&lt;=$B19)*Aportes*(1+RentabilidadeAnual)^($B19-Anos)),0)</f>
        <v/>
      </c>
      <c r="E19" s="35">
        <f>D19*((1+CenarioDY)^12-1)</f>
        <v/>
      </c>
      <c r="F19" s="35">
        <f>SUM($E$17:E19)</f>
        <v/>
      </c>
      <c r="G19" s="48">
        <f>1/(1+CenarioTaxa)^$B19</f>
        <v/>
      </c>
      <c r="H19" s="35">
        <f>E19*G19</f>
        <v/>
      </c>
      <c r="I19" s="35">
        <f>SUM($H$17:H19)</f>
        <v/>
      </c>
      <c r="K19" s="7" t="inlineStr">
        <is>
          <t>Aporte inicial investido (R$)</t>
        </is>
      </c>
      <c r="L19" s="53">
        <f>AporteInicialInvestido</f>
        <v/>
      </c>
    </row>
    <row r="20" ht="17" customHeight="1">
      <c r="B20" s="50" t="n">
        <v>4</v>
      </c>
      <c r="C20" s="51">
        <f>IF($B20&lt;=CenarioAnos,AporteInvestido*12,0)+IF($B20=1,AporteInicialInvestido,0)</f>
        <v/>
      </c>
      <c r="D20" s="51">
        <f>IF($B20&lt;=CenarioAnos,SUMPRODUCT((Anos&lt;=$B20)*Aportes*(1+RentabilidadeAnual)^($B20-Anos)),0)</f>
        <v/>
      </c>
      <c r="E20" s="51">
        <f>D20*((1+CenarioDY)^12-1)</f>
        <v/>
      </c>
      <c r="F20" s="51">
        <f>SUM($E$17:E20)</f>
        <v/>
      </c>
      <c r="G20" s="52">
        <f>1/(1+CenarioTaxa)^$B20</f>
        <v/>
      </c>
      <c r="H20" s="51">
        <f>E20*G20</f>
        <v/>
      </c>
      <c r="I20" s="51">
        <f>SUM($H$17:H20)</f>
        <v/>
      </c>
      <c r="K20" s="7" t="inlineStr">
        <is>
          <t>Total investido no horizonte (R$)</t>
        </is>
      </c>
      <c r="L20" s="53">
        <f>AporteInicialInvestido+AporteInvestido*12*CenarioAnos</f>
        <v/>
      </c>
    </row>
    <row r="21" ht="17" customHeight="1">
      <c r="B21" s="54" t="n">
        <v>5</v>
      </c>
      <c r="C21" s="35">
        <f>IF($B21&lt;=CenarioAnos,AporteInvestido*12,0)+IF($B21=1,AporteInicialInvestido,0)</f>
        <v/>
      </c>
      <c r="D21" s="35">
        <f>IF($B21&lt;=CenarioAnos,SUMPRODUCT((Anos&lt;=$B21)*Aportes*(1+RentabilidadeAnual)^($B21-Anos)),0)</f>
        <v/>
      </c>
      <c r="E21" s="35">
        <f>D21*((1+CenarioDY)^12-1)</f>
        <v/>
      </c>
      <c r="F21" s="35">
        <f>SUM($E$17:E21)</f>
        <v/>
      </c>
      <c r="G21" s="48">
        <f>1/(1+CenarioTaxa)^$B21</f>
        <v/>
      </c>
      <c r="H21" s="35">
        <f>E21*G21</f>
        <v/>
      </c>
      <c r="I21" s="35">
        <f>SUM($H$17:H21)</f>
        <v/>
      </c>
      <c r="K21" s="7" t="inlineStr">
        <is>
          <t>Dividendos do ano do horizonte — SOMASE</t>
        </is>
      </c>
      <c r="L21" s="53">
        <f>SUMIF(Anos,CenarioAnos,DividendosNoAno)</f>
        <v/>
      </c>
    </row>
    <row r="22" ht="17" customHeight="1">
      <c r="B22" s="50" t="n">
        <v>6</v>
      </c>
      <c r="C22" s="51">
        <f>IF($B22&lt;=CenarioAnos,AporteInvestido*12,0)+IF($B22=1,AporteInicialInvestido,0)</f>
        <v/>
      </c>
      <c r="D22" s="51">
        <f>IF($B22&lt;=CenarioAnos,SUMPRODUCT((Anos&lt;=$B22)*Aportes*(1+RentabilidadeAnual)^($B22-Anos)),0)</f>
        <v/>
      </c>
      <c r="E22" s="51">
        <f>D22*((1+CenarioDY)^12-1)</f>
        <v/>
      </c>
      <c r="F22" s="51">
        <f>SUM($E$17:E22)</f>
        <v/>
      </c>
      <c r="G22" s="52">
        <f>1/(1+CenarioTaxa)^$B22</f>
        <v/>
      </c>
      <c r="H22" s="51">
        <f>E22*G22</f>
        <v/>
      </c>
      <c r="I22" s="51">
        <f>SUM($H$17:H22)</f>
        <v/>
      </c>
      <c r="K22" s="7" t="inlineStr">
        <is>
          <t>Equivalente por mês (R$)</t>
        </is>
      </c>
      <c r="L22" s="53">
        <f>$L$21/12</f>
        <v/>
      </c>
    </row>
    <row r="23" ht="28" customHeight="1">
      <c r="B23" s="47" t="n">
        <v>7</v>
      </c>
      <c r="C23" s="35">
        <f>IF($B23&lt;=CenarioAnos,AporteInvestido*12,0)+IF($B23=1,AporteInicialInvestido,0)</f>
        <v/>
      </c>
      <c r="D23" s="35">
        <f>IF($B23&lt;=CenarioAnos,SUMPRODUCT((Anos&lt;=$B23)*Aportes*(1+RentabilidadeAnual)^($B23-Anos)),0)</f>
        <v/>
      </c>
      <c r="E23" s="35">
        <f>D23*((1+CenarioDY)^12-1)</f>
        <v/>
      </c>
      <c r="F23" s="35">
        <f>SUM($E$17:E23)</f>
        <v/>
      </c>
      <c r="G23" s="48">
        <f>1/(1+CenarioTaxa)^$B23</f>
        <v/>
      </c>
      <c r="H23" s="35">
        <f>E23*G23</f>
        <v/>
      </c>
      <c r="I23" s="35">
        <f>SUM($H$17:H23)</f>
        <v/>
      </c>
      <c r="K23" s="7" t="inlineStr">
        <is>
          <t>Salários mínimos por mês pagos pelos dividendos</t>
        </is>
      </c>
      <c r="L23" s="55">
        <f>$L$22/SalarioMinimo</f>
        <v/>
      </c>
    </row>
    <row r="24" ht="28" customHeight="1">
      <c r="B24" s="50" t="n">
        <v>8</v>
      </c>
      <c r="C24" s="51">
        <f>IF($B24&lt;=CenarioAnos,AporteInvestido*12,0)+IF($B24=1,AporteInicialInvestido,0)</f>
        <v/>
      </c>
      <c r="D24" s="51">
        <f>IF($B24&lt;=CenarioAnos,SUMPRODUCT((Anos&lt;=$B24)*Aportes*(1+RentabilidadeAnual)^($B24-Anos)),0)</f>
        <v/>
      </c>
      <c r="E24" s="51">
        <f>D24*((1+CenarioDY)^12-1)</f>
        <v/>
      </c>
      <c r="F24" s="51">
        <f>SUM($E$17:E24)</f>
        <v/>
      </c>
      <c r="G24" s="52">
        <f>1/(1+CenarioTaxa)^$B24</f>
        <v/>
      </c>
      <c r="H24" s="51">
        <f>E24*G24</f>
        <v/>
      </c>
      <c r="I24" s="51">
        <f>SUM($H$17:H24)</f>
        <v/>
      </c>
      <c r="K24" s="7" t="inlineStr">
        <is>
          <t>Dividendos do horizonte a valor presente — SOMARPRODUTO</t>
        </is>
      </c>
      <c r="L24" s="53">
        <f>SUMPRODUCT(DividendosNoAno,FatorDesconto)</f>
        <v/>
      </c>
    </row>
    <row r="25" ht="28" customHeight="1">
      <c r="B25" s="47" t="n">
        <v>9</v>
      </c>
      <c r="C25" s="35">
        <f>IF($B25&lt;=CenarioAnos,AporteInvestido*12,0)+IF($B25=1,AporteInicialInvestido,0)</f>
        <v/>
      </c>
      <c r="D25" s="35">
        <f>IF($B25&lt;=CenarioAnos,SUMPRODUCT((Anos&lt;=$B25)*Aportes*(1+RentabilidadeAnual)^($B25-Anos)),0)</f>
        <v/>
      </c>
      <c r="E25" s="35">
        <f>D25*((1+CenarioDY)^12-1)</f>
        <v/>
      </c>
      <c r="F25" s="35">
        <f>SUM($E$17:E25)</f>
        <v/>
      </c>
      <c r="G25" s="48">
        <f>1/(1+CenarioTaxa)^$B25</f>
        <v/>
      </c>
      <c r="H25" s="35">
        <f>E25*G25</f>
        <v/>
      </c>
      <c r="I25" s="35">
        <f>SUM($H$17:H25)</f>
        <v/>
      </c>
      <c r="K25" s="7" t="inlineStr">
        <is>
          <t>Dividendos acumulados durante todo o horizonte</t>
        </is>
      </c>
      <c r="L25" s="53">
        <f>SUM(DividendosNoAno)</f>
        <v/>
      </c>
    </row>
    <row r="26" ht="17" customHeight="1">
      <c r="B26" s="56" t="n">
        <v>10</v>
      </c>
      <c r="C26" s="51">
        <f>IF($B26&lt;=CenarioAnos,AporteInvestido*12,0)+IF($B26=1,AporteInicialInvestido,0)</f>
        <v/>
      </c>
      <c r="D26" s="51">
        <f>IF($B26&lt;=CenarioAnos,SUMPRODUCT((Anos&lt;=$B26)*Aportes*(1+RentabilidadeAnual)^($B26-Anos)),0)</f>
        <v/>
      </c>
      <c r="E26" s="51">
        <f>D26*((1+CenarioDY)^12-1)</f>
        <v/>
      </c>
      <c r="F26" s="51">
        <f>SUM($E$17:E26)</f>
        <v/>
      </c>
      <c r="G26" s="52">
        <f>1/(1+CenarioTaxa)^$B26</f>
        <v/>
      </c>
      <c r="H26" s="51">
        <f>E26*G26</f>
        <v/>
      </c>
      <c r="I26" s="51">
        <f>SUM($H$17:H26)</f>
        <v/>
      </c>
      <c r="K26" s="7" t="inlineStr">
        <is>
          <t>Dividendos acumulados até o ano do horizonte</t>
        </is>
      </c>
      <c r="L26" s="53">
        <f>SUMIF(Anos,CenarioAnos,DividendosAcumulados)</f>
        <v/>
      </c>
    </row>
    <row r="27" ht="28" customHeight="1">
      <c r="B27" s="47" t="n">
        <v>11</v>
      </c>
      <c r="C27" s="35">
        <f>IF($B27&lt;=CenarioAnos,AporteInvestido*12,0)+IF($B27=1,AporteInicialInvestido,0)</f>
        <v/>
      </c>
      <c r="D27" s="35">
        <f>IF($B27&lt;=CenarioAnos,SUMPRODUCT((Anos&lt;=$B27)*Aportes*(1+RentabilidadeAnual)^($B27-Anos)),0)</f>
        <v/>
      </c>
      <c r="E27" s="35">
        <f>D27*((1+CenarioDY)^12-1)</f>
        <v/>
      </c>
      <c r="F27" s="35">
        <f>SUM($E$17:E27)</f>
        <v/>
      </c>
      <c r="G27" s="48">
        <f>1/(1+CenarioTaxa)^$B27</f>
        <v/>
      </c>
      <c r="H27" s="35">
        <f>E27*G27</f>
        <v/>
      </c>
      <c r="I27" s="35">
        <f>SUM($H$17:H27)</f>
        <v/>
      </c>
      <c r="K27" s="7" t="inlineStr">
        <is>
          <t>Patrimônio estimado no fim do ano do horizonte</t>
        </is>
      </c>
      <c r="L27" s="53">
        <f>SUMIF(Anos,CenarioAnos,PatrimonioEstimado)</f>
        <v/>
      </c>
    </row>
    <row r="28" ht="16" customHeight="1">
      <c r="B28" s="50" t="n">
        <v>12</v>
      </c>
      <c r="C28" s="51">
        <f>IF($B28&lt;=CenarioAnos,AporteInvestido*12,0)+IF($B28=1,AporteInicialInvestido,0)</f>
        <v/>
      </c>
      <c r="D28" s="51">
        <f>IF($B28&lt;=CenarioAnos,SUMPRODUCT((Anos&lt;=$B28)*Aportes*(1+RentabilidadeAnual)^($B28-Anos)),0)</f>
        <v/>
      </c>
      <c r="E28" s="51">
        <f>D28*((1+CenarioDY)^12-1)</f>
        <v/>
      </c>
      <c r="F28" s="51">
        <f>SUM($E$17:E28)</f>
        <v/>
      </c>
      <c r="G28" s="52">
        <f>1/(1+CenarioTaxa)^$B28</f>
        <v/>
      </c>
      <c r="H28" s="51">
        <f>E28*G28</f>
        <v/>
      </c>
      <c r="I28" s="51">
        <f>SUM($H$17:H28)</f>
        <v/>
      </c>
    </row>
    <row r="29" ht="14" customHeight="1">
      <c r="B29" s="47" t="n">
        <v>13</v>
      </c>
      <c r="C29" s="35">
        <f>IF($B29&lt;=CenarioAnos,AporteInvestido*12,0)+IF($B29=1,AporteInicialInvestido,0)</f>
        <v/>
      </c>
      <c r="D29" s="35">
        <f>IF($B29&lt;=CenarioAnos,SUMPRODUCT((Anos&lt;=$B29)*Aportes*(1+RentabilidadeAnual)^($B29-Anos)),0)</f>
        <v/>
      </c>
      <c r="E29" s="35">
        <f>D29*((1+CenarioDY)^12-1)</f>
        <v/>
      </c>
      <c r="F29" s="35">
        <f>SUM($E$17:E29)</f>
        <v/>
      </c>
      <c r="G29" s="48">
        <f>1/(1+CenarioTaxa)^$B29</f>
        <v/>
      </c>
      <c r="H29" s="35">
        <f>E29*G29</f>
        <v/>
      </c>
      <c r="I29" s="35">
        <f>SUM($H$17:H29)</f>
        <v/>
      </c>
      <c r="K29" s="57" t="inlineStr">
        <is>
          <t>Teste 2, 5, 10, 20 e 30 anos em Parâmetros (C17) e compare os totais acima.</t>
        </is>
      </c>
    </row>
    <row r="30" ht="16" customHeight="1">
      <c r="B30" s="50" t="n">
        <v>14</v>
      </c>
      <c r="C30" s="51">
        <f>IF($B30&lt;=CenarioAnos,AporteInvestido*12,0)+IF($B30=1,AporteInicialInvestido,0)</f>
        <v/>
      </c>
      <c r="D30" s="51">
        <f>IF($B30&lt;=CenarioAnos,SUMPRODUCT((Anos&lt;=$B30)*Aportes*(1+RentabilidadeAnual)^($B30-Anos)),0)</f>
        <v/>
      </c>
      <c r="E30" s="51">
        <f>D30*((1+CenarioDY)^12-1)</f>
        <v/>
      </c>
      <c r="F30" s="51">
        <f>SUM($E$17:E30)</f>
        <v/>
      </c>
      <c r="G30" s="52">
        <f>1/(1+CenarioTaxa)^$B30</f>
        <v/>
      </c>
      <c r="H30" s="51">
        <f>E30*G30</f>
        <v/>
      </c>
      <c r="I30" s="51">
        <f>SUM($H$17:H30)</f>
        <v/>
      </c>
    </row>
    <row r="31" ht="16" customHeight="1">
      <c r="B31" s="54" t="n">
        <v>15</v>
      </c>
      <c r="C31" s="35">
        <f>IF($B31&lt;=CenarioAnos,AporteInvestido*12,0)+IF($B31=1,AporteInicialInvestido,0)</f>
        <v/>
      </c>
      <c r="D31" s="35">
        <f>IF($B31&lt;=CenarioAnos,SUMPRODUCT((Anos&lt;=$B31)*Aportes*(1+RentabilidadeAnual)^($B31-Anos)),0)</f>
        <v/>
      </c>
      <c r="E31" s="35">
        <f>D31*((1+CenarioDY)^12-1)</f>
        <v/>
      </c>
      <c r="F31" s="35">
        <f>SUM($E$17:E31)</f>
        <v/>
      </c>
      <c r="G31" s="48">
        <f>1/(1+CenarioTaxa)^$B31</f>
        <v/>
      </c>
      <c r="H31" s="35">
        <f>E31*G31</f>
        <v/>
      </c>
      <c r="I31" s="35">
        <f>SUM($H$17:H31)</f>
        <v/>
      </c>
    </row>
    <row r="32" ht="16" customHeight="1">
      <c r="B32" s="50" t="n">
        <v>16</v>
      </c>
      <c r="C32" s="51">
        <f>IF($B32&lt;=CenarioAnos,AporteInvestido*12,0)+IF($B32=1,AporteInicialInvestido,0)</f>
        <v/>
      </c>
      <c r="D32" s="51">
        <f>IF($B32&lt;=CenarioAnos,SUMPRODUCT((Anos&lt;=$B32)*Aportes*(1+RentabilidadeAnual)^($B32-Anos)),0)</f>
        <v/>
      </c>
      <c r="E32" s="51">
        <f>D32*((1+CenarioDY)^12-1)</f>
        <v/>
      </c>
      <c r="F32" s="51">
        <f>SUM($E$17:E32)</f>
        <v/>
      </c>
      <c r="G32" s="52">
        <f>1/(1+CenarioTaxa)^$B32</f>
        <v/>
      </c>
      <c r="H32" s="51">
        <f>E32*G32</f>
        <v/>
      </c>
      <c r="I32" s="51">
        <f>SUM($H$17:H32)</f>
        <v/>
      </c>
    </row>
    <row r="33" ht="16" customHeight="1">
      <c r="B33" s="47" t="n">
        <v>17</v>
      </c>
      <c r="C33" s="35">
        <f>IF($B33&lt;=CenarioAnos,AporteInvestido*12,0)+IF($B33=1,AporteInicialInvestido,0)</f>
        <v/>
      </c>
      <c r="D33" s="35">
        <f>IF($B33&lt;=CenarioAnos,SUMPRODUCT((Anos&lt;=$B33)*Aportes*(1+RentabilidadeAnual)^($B33-Anos)),0)</f>
        <v/>
      </c>
      <c r="E33" s="35">
        <f>D33*((1+CenarioDY)^12-1)</f>
        <v/>
      </c>
      <c r="F33" s="35">
        <f>SUM($E$17:E33)</f>
        <v/>
      </c>
      <c r="G33" s="48">
        <f>1/(1+CenarioTaxa)^$B33</f>
        <v/>
      </c>
      <c r="H33" s="35">
        <f>E33*G33</f>
        <v/>
      </c>
      <c r="I33" s="35">
        <f>SUM($H$17:H33)</f>
        <v/>
      </c>
    </row>
    <row r="34" ht="16" customHeight="1">
      <c r="B34" s="50" t="n">
        <v>18</v>
      </c>
      <c r="C34" s="51">
        <f>IF($B34&lt;=CenarioAnos,AporteInvestido*12,0)+IF($B34=1,AporteInicialInvestido,0)</f>
        <v/>
      </c>
      <c r="D34" s="51">
        <f>IF($B34&lt;=CenarioAnos,SUMPRODUCT((Anos&lt;=$B34)*Aportes*(1+RentabilidadeAnual)^($B34-Anos)),0)</f>
        <v/>
      </c>
      <c r="E34" s="51">
        <f>D34*((1+CenarioDY)^12-1)</f>
        <v/>
      </c>
      <c r="F34" s="51">
        <f>SUM($E$17:E34)</f>
        <v/>
      </c>
      <c r="G34" s="52">
        <f>1/(1+CenarioTaxa)^$B34</f>
        <v/>
      </c>
      <c r="H34" s="51">
        <f>E34*G34</f>
        <v/>
      </c>
      <c r="I34" s="51">
        <f>SUM($H$17:H34)</f>
        <v/>
      </c>
    </row>
    <row r="35" ht="16" customHeight="1">
      <c r="B35" s="47" t="n">
        <v>19</v>
      </c>
      <c r="C35" s="35">
        <f>IF($B35&lt;=CenarioAnos,AporteInvestido*12,0)+IF($B35=1,AporteInicialInvestido,0)</f>
        <v/>
      </c>
      <c r="D35" s="35">
        <f>IF($B35&lt;=CenarioAnos,SUMPRODUCT((Anos&lt;=$B35)*Aportes*(1+RentabilidadeAnual)^($B35-Anos)),0)</f>
        <v/>
      </c>
      <c r="E35" s="35">
        <f>D35*((1+CenarioDY)^12-1)</f>
        <v/>
      </c>
      <c r="F35" s="35">
        <f>SUM($E$17:E35)</f>
        <v/>
      </c>
      <c r="G35" s="48">
        <f>1/(1+CenarioTaxa)^$B35</f>
        <v/>
      </c>
      <c r="H35" s="35">
        <f>E35*G35</f>
        <v/>
      </c>
      <c r="I35" s="35">
        <f>SUM($H$17:H35)</f>
        <v/>
      </c>
    </row>
    <row r="36" ht="16" customHeight="1">
      <c r="B36" s="56" t="n">
        <v>20</v>
      </c>
      <c r="C36" s="51">
        <f>IF($B36&lt;=CenarioAnos,AporteInvestido*12,0)+IF($B36=1,AporteInicialInvestido,0)</f>
        <v/>
      </c>
      <c r="D36" s="51">
        <f>IF($B36&lt;=CenarioAnos,SUMPRODUCT((Anos&lt;=$B36)*Aportes*(1+RentabilidadeAnual)^($B36-Anos)),0)</f>
        <v/>
      </c>
      <c r="E36" s="51">
        <f>D36*((1+CenarioDY)^12-1)</f>
        <v/>
      </c>
      <c r="F36" s="51">
        <f>SUM($E$17:E36)</f>
        <v/>
      </c>
      <c r="G36" s="52">
        <f>1/(1+CenarioTaxa)^$B36</f>
        <v/>
      </c>
      <c r="H36" s="51">
        <f>E36*G36</f>
        <v/>
      </c>
      <c r="I36" s="51">
        <f>SUM($H$17:H36)</f>
        <v/>
      </c>
    </row>
    <row r="37" ht="16" customHeight="1">
      <c r="B37" s="47" t="n">
        <v>21</v>
      </c>
      <c r="C37" s="35">
        <f>IF($B37&lt;=CenarioAnos,AporteInvestido*12,0)+IF($B37=1,AporteInicialInvestido,0)</f>
        <v/>
      </c>
      <c r="D37" s="35">
        <f>IF($B37&lt;=CenarioAnos,SUMPRODUCT((Anos&lt;=$B37)*Aportes*(1+RentabilidadeAnual)^($B37-Anos)),0)</f>
        <v/>
      </c>
      <c r="E37" s="35">
        <f>D37*((1+CenarioDY)^12-1)</f>
        <v/>
      </c>
      <c r="F37" s="35">
        <f>SUM($E$17:E37)</f>
        <v/>
      </c>
      <c r="G37" s="48">
        <f>1/(1+CenarioTaxa)^$B37</f>
        <v/>
      </c>
      <c r="H37" s="35">
        <f>E37*G37</f>
        <v/>
      </c>
      <c r="I37" s="35">
        <f>SUM($H$17:H37)</f>
        <v/>
      </c>
    </row>
    <row r="38" ht="16" customHeight="1">
      <c r="B38" s="50" t="n">
        <v>22</v>
      </c>
      <c r="C38" s="51">
        <f>IF($B38&lt;=CenarioAnos,AporteInvestido*12,0)+IF($B38=1,AporteInicialInvestido,0)</f>
        <v/>
      </c>
      <c r="D38" s="51">
        <f>IF($B38&lt;=CenarioAnos,SUMPRODUCT((Anos&lt;=$B38)*Aportes*(1+RentabilidadeAnual)^($B38-Anos)),0)</f>
        <v/>
      </c>
      <c r="E38" s="51">
        <f>D38*((1+CenarioDY)^12-1)</f>
        <v/>
      </c>
      <c r="F38" s="51">
        <f>SUM($E$17:E38)</f>
        <v/>
      </c>
      <c r="G38" s="52">
        <f>1/(1+CenarioTaxa)^$B38</f>
        <v/>
      </c>
      <c r="H38" s="51">
        <f>E38*G38</f>
        <v/>
      </c>
      <c r="I38" s="51">
        <f>SUM($H$17:H38)</f>
        <v/>
      </c>
    </row>
    <row r="39" ht="16" customHeight="1">
      <c r="B39" s="47" t="n">
        <v>23</v>
      </c>
      <c r="C39" s="35">
        <f>IF($B39&lt;=CenarioAnos,AporteInvestido*12,0)+IF($B39=1,AporteInicialInvestido,0)</f>
        <v/>
      </c>
      <c r="D39" s="35">
        <f>IF($B39&lt;=CenarioAnos,SUMPRODUCT((Anos&lt;=$B39)*Aportes*(1+RentabilidadeAnual)^($B39-Anos)),0)</f>
        <v/>
      </c>
      <c r="E39" s="35">
        <f>D39*((1+CenarioDY)^12-1)</f>
        <v/>
      </c>
      <c r="F39" s="35">
        <f>SUM($E$17:E39)</f>
        <v/>
      </c>
      <c r="G39" s="48">
        <f>1/(1+CenarioTaxa)^$B39</f>
        <v/>
      </c>
      <c r="H39" s="35">
        <f>E39*G39</f>
        <v/>
      </c>
      <c r="I39" s="35">
        <f>SUM($H$17:H39)</f>
        <v/>
      </c>
    </row>
    <row r="40" ht="16" customHeight="1">
      <c r="B40" s="50" t="n">
        <v>24</v>
      </c>
      <c r="C40" s="51">
        <f>IF($B40&lt;=CenarioAnos,AporteInvestido*12,0)+IF($B40=1,AporteInicialInvestido,0)</f>
        <v/>
      </c>
      <c r="D40" s="51">
        <f>IF($B40&lt;=CenarioAnos,SUMPRODUCT((Anos&lt;=$B40)*Aportes*(1+RentabilidadeAnual)^($B40-Anos)),0)</f>
        <v/>
      </c>
      <c r="E40" s="51">
        <f>D40*((1+CenarioDY)^12-1)</f>
        <v/>
      </c>
      <c r="F40" s="51">
        <f>SUM($E$17:E40)</f>
        <v/>
      </c>
      <c r="G40" s="52">
        <f>1/(1+CenarioTaxa)^$B40</f>
        <v/>
      </c>
      <c r="H40" s="51">
        <f>E40*G40</f>
        <v/>
      </c>
      <c r="I40" s="51">
        <f>SUM($H$17:H40)</f>
        <v/>
      </c>
    </row>
    <row r="41" ht="16" customHeight="1">
      <c r="B41" s="54" t="n">
        <v>25</v>
      </c>
      <c r="C41" s="35">
        <f>IF($B41&lt;=CenarioAnos,AporteInvestido*12,0)+IF($B41=1,AporteInicialInvestido,0)</f>
        <v/>
      </c>
      <c r="D41" s="35">
        <f>IF($B41&lt;=CenarioAnos,SUMPRODUCT((Anos&lt;=$B41)*Aportes*(1+RentabilidadeAnual)^($B41-Anos)),0)</f>
        <v/>
      </c>
      <c r="E41" s="35">
        <f>D41*((1+CenarioDY)^12-1)</f>
        <v/>
      </c>
      <c r="F41" s="35">
        <f>SUM($E$17:E41)</f>
        <v/>
      </c>
      <c r="G41" s="48">
        <f>1/(1+CenarioTaxa)^$B41</f>
        <v/>
      </c>
      <c r="H41" s="35">
        <f>E41*G41</f>
        <v/>
      </c>
      <c r="I41" s="35">
        <f>SUM($H$17:H41)</f>
        <v/>
      </c>
    </row>
    <row r="42" ht="16" customHeight="1">
      <c r="B42" s="50" t="n">
        <v>26</v>
      </c>
      <c r="C42" s="51">
        <f>IF($B42&lt;=CenarioAnos,AporteInvestido*12,0)+IF($B42=1,AporteInicialInvestido,0)</f>
        <v/>
      </c>
      <c r="D42" s="51">
        <f>IF($B42&lt;=CenarioAnos,SUMPRODUCT((Anos&lt;=$B42)*Aportes*(1+RentabilidadeAnual)^($B42-Anos)),0)</f>
        <v/>
      </c>
      <c r="E42" s="51">
        <f>D42*((1+CenarioDY)^12-1)</f>
        <v/>
      </c>
      <c r="F42" s="51">
        <f>SUM($E$17:E42)</f>
        <v/>
      </c>
      <c r="G42" s="52">
        <f>1/(1+CenarioTaxa)^$B42</f>
        <v/>
      </c>
      <c r="H42" s="51">
        <f>E42*G42</f>
        <v/>
      </c>
      <c r="I42" s="51">
        <f>SUM($H$17:H42)</f>
        <v/>
      </c>
    </row>
    <row r="43" ht="16" customHeight="1">
      <c r="B43" s="47" t="n">
        <v>27</v>
      </c>
      <c r="C43" s="35">
        <f>IF($B43&lt;=CenarioAnos,AporteInvestido*12,0)+IF($B43=1,AporteInicialInvestido,0)</f>
        <v/>
      </c>
      <c r="D43" s="35">
        <f>IF($B43&lt;=CenarioAnos,SUMPRODUCT((Anos&lt;=$B43)*Aportes*(1+RentabilidadeAnual)^($B43-Anos)),0)</f>
        <v/>
      </c>
      <c r="E43" s="35">
        <f>D43*((1+CenarioDY)^12-1)</f>
        <v/>
      </c>
      <c r="F43" s="35">
        <f>SUM($E$17:E43)</f>
        <v/>
      </c>
      <c r="G43" s="48">
        <f>1/(1+CenarioTaxa)^$B43</f>
        <v/>
      </c>
      <c r="H43" s="35">
        <f>E43*G43</f>
        <v/>
      </c>
      <c r="I43" s="35">
        <f>SUM($H$17:H43)</f>
        <v/>
      </c>
    </row>
    <row r="44" ht="16" customHeight="1">
      <c r="B44" s="50" t="n">
        <v>28</v>
      </c>
      <c r="C44" s="51">
        <f>IF($B44&lt;=CenarioAnos,AporteInvestido*12,0)+IF($B44=1,AporteInicialInvestido,0)</f>
        <v/>
      </c>
      <c r="D44" s="51">
        <f>IF($B44&lt;=CenarioAnos,SUMPRODUCT((Anos&lt;=$B44)*Aportes*(1+RentabilidadeAnual)^($B44-Anos)),0)</f>
        <v/>
      </c>
      <c r="E44" s="51">
        <f>D44*((1+CenarioDY)^12-1)</f>
        <v/>
      </c>
      <c r="F44" s="51">
        <f>SUM($E$17:E44)</f>
        <v/>
      </c>
      <c r="G44" s="52">
        <f>1/(1+CenarioTaxa)^$B44</f>
        <v/>
      </c>
      <c r="H44" s="51">
        <f>E44*G44</f>
        <v/>
      </c>
      <c r="I44" s="51">
        <f>SUM($H$17:H44)</f>
        <v/>
      </c>
    </row>
    <row r="45" ht="16" customHeight="1">
      <c r="B45" s="47" t="n">
        <v>29</v>
      </c>
      <c r="C45" s="35">
        <f>IF($B45&lt;=CenarioAnos,AporteInvestido*12,0)+IF($B45=1,AporteInicialInvestido,0)</f>
        <v/>
      </c>
      <c r="D45" s="35">
        <f>IF($B45&lt;=CenarioAnos,SUMPRODUCT((Anos&lt;=$B45)*Aportes*(1+RentabilidadeAnual)^($B45-Anos)),0)</f>
        <v/>
      </c>
      <c r="E45" s="35">
        <f>D45*((1+CenarioDY)^12-1)</f>
        <v/>
      </c>
      <c r="F45" s="35">
        <f>SUM($E$17:E45)</f>
        <v/>
      </c>
      <c r="G45" s="48">
        <f>1/(1+CenarioTaxa)^$B45</f>
        <v/>
      </c>
      <c r="H45" s="35">
        <f>E45*G45</f>
        <v/>
      </c>
      <c r="I45" s="35">
        <f>SUM($H$17:H45)</f>
        <v/>
      </c>
    </row>
    <row r="46" ht="16" customHeight="1">
      <c r="B46" s="56" t="n">
        <v>30</v>
      </c>
      <c r="C46" s="51">
        <f>IF($B46&lt;=CenarioAnos,AporteInvestido*12,0)+IF($B46=1,AporteInicialInvestido,0)</f>
        <v/>
      </c>
      <c r="D46" s="51">
        <f>IF($B46&lt;=CenarioAnos,SUMPRODUCT((Anos&lt;=$B46)*Aportes*(1+RentabilidadeAnual)^($B46-Anos)),0)</f>
        <v/>
      </c>
      <c r="E46" s="51">
        <f>D46*((1+CenarioDY)^12-1)</f>
        <v/>
      </c>
      <c r="F46" s="51">
        <f>SUM($E$17:E46)</f>
        <v/>
      </c>
      <c r="G46" s="52">
        <f>1/(1+CenarioTaxa)^$B46</f>
        <v/>
      </c>
      <c r="H46" s="51">
        <f>E46*G46</f>
        <v/>
      </c>
      <c r="I46" s="51">
        <f>SUM($H$17:H46)</f>
        <v/>
      </c>
    </row>
    <row r="48" ht="8" customHeight="1"/>
    <row r="49" ht="22" customHeight="1">
      <c r="B49" s="3" t="inlineStr">
        <is>
          <t>P4 • SIMULADOR DE PATRIMÔNIO (VF) — DO APORTE AO PATRIMÔNIO, DE 2 A 30 ANOS</t>
        </is>
      </c>
    </row>
    <row r="50" ht="26" customHeight="1">
      <c r="B50" s="21" t="inlineStr">
        <is>
          <t>Patrimônio = VF(taxa mensal; meses; −aporte mensal investido; −valor aplicado no início; 0). A coluna S investe também a reserva (12 meses) no início.</t>
        </is>
      </c>
    </row>
    <row r="51" ht="44" customHeight="1">
      <c r="B51" s="46" t="inlineStr">
        <is>
          <t>Horizonte
(anos)</t>
        </is>
      </c>
      <c r="C51" s="46" t="inlineStr">
        <is>
          <t>Total investido no período (R$)</t>
        </is>
      </c>
      <c r="D51" s="46" t="inlineStr">
        <is>
          <t>Patrimônio projetado — SEM a reserva (N)</t>
        </is>
      </c>
      <c r="E51" s="46" t="inlineStr">
        <is>
          <t>Patrimônio projetado — COM a reserva (S)</t>
        </is>
      </c>
      <c r="F51" s="46" t="inlineStr">
        <is>
          <t>Ganho da reserva
(S − N)</t>
        </is>
      </c>
      <c r="G51" s="46" t="inlineStr">
        <is>
          <t>Meses
(VF)</t>
        </is>
      </c>
      <c r="H51" s="46" t="inlineStr">
        <is>
          <t>Retorno sobre o
valor investido</t>
        </is>
      </c>
    </row>
    <row r="52" ht="18" customHeight="1">
      <c r="B52" s="54" t="n">
        <v>2</v>
      </c>
      <c r="C52" s="35">
        <f>AporteInicialInvestido+AporteInvestido*12*$B52</f>
        <v/>
      </c>
      <c r="D52" s="35">
        <f>FV(CenarioTaxaMensal,$B52*12,-AporteInvestido,-AporteInicialInvestido,0)</f>
        <v/>
      </c>
      <c r="E52" s="35">
        <f>FV(CenarioTaxaMensal,$B52*12,-AporteInvestido,-(AporteInicialInvestido+EnvelopeReserva),0)</f>
        <v/>
      </c>
      <c r="F52" s="58">
        <f>E52-D52</f>
        <v/>
      </c>
      <c r="G52" s="45">
        <f>$B52*12</f>
        <v/>
      </c>
      <c r="H52" s="59">
        <f>IF(C52=0,0,E52/C52-1)</f>
        <v/>
      </c>
    </row>
    <row r="53" ht="18" customHeight="1">
      <c r="B53" s="54" t="n">
        <v>5</v>
      </c>
      <c r="C53" s="35">
        <f>AporteInicialInvestido+AporteInvestido*12*$B53</f>
        <v/>
      </c>
      <c r="D53" s="35">
        <f>FV(CenarioTaxaMensal,$B53*12,-AporteInvestido,-AporteInicialInvestido,0)</f>
        <v/>
      </c>
      <c r="E53" s="35">
        <f>FV(CenarioTaxaMensal,$B53*12,-AporteInvestido,-(AporteInicialInvestido+EnvelopeReserva),0)</f>
        <v/>
      </c>
      <c r="F53" s="58">
        <f>E53-D53</f>
        <v/>
      </c>
      <c r="G53" s="45">
        <f>$B53*12</f>
        <v/>
      </c>
      <c r="H53" s="59">
        <f>IF(C53=0,0,E53/C53-1)</f>
        <v/>
      </c>
    </row>
    <row r="54" ht="18" customHeight="1">
      <c r="B54" s="54" t="n">
        <v>10</v>
      </c>
      <c r="C54" s="35">
        <f>AporteInicialInvestido+AporteInvestido*12*$B54</f>
        <v/>
      </c>
      <c r="D54" s="35">
        <f>FV(CenarioTaxaMensal,$B54*12,-AporteInvestido,-AporteInicialInvestido,0)</f>
        <v/>
      </c>
      <c r="E54" s="35">
        <f>FV(CenarioTaxaMensal,$B54*12,-AporteInvestido,-(AporteInicialInvestido+EnvelopeReserva),0)</f>
        <v/>
      </c>
      <c r="F54" s="58">
        <f>E54-D54</f>
        <v/>
      </c>
      <c r="G54" s="45">
        <f>$B54*12</f>
        <v/>
      </c>
      <c r="H54" s="59">
        <f>IF(C54=0,0,E54/C54-1)</f>
        <v/>
      </c>
    </row>
    <row r="55" ht="18" customHeight="1">
      <c r="B55" s="54" t="n">
        <v>15</v>
      </c>
      <c r="C55" s="35">
        <f>AporteInicialInvestido+AporteInvestido*12*$B55</f>
        <v/>
      </c>
      <c r="D55" s="35">
        <f>FV(CenarioTaxaMensal,$B55*12,-AporteInvestido,-AporteInicialInvestido,0)</f>
        <v/>
      </c>
      <c r="E55" s="35">
        <f>FV(CenarioTaxaMensal,$B55*12,-AporteInvestido,-(AporteInicialInvestido+EnvelopeReserva),0)</f>
        <v/>
      </c>
      <c r="F55" s="58">
        <f>E55-D55</f>
        <v/>
      </c>
      <c r="G55" s="45">
        <f>$B55*12</f>
        <v/>
      </c>
      <c r="H55" s="59">
        <f>IF(C55=0,0,E55/C55-1)</f>
        <v/>
      </c>
    </row>
    <row r="56" ht="18" customHeight="1">
      <c r="B56" s="54" t="n">
        <v>20</v>
      </c>
      <c r="C56" s="35">
        <f>AporteInicialInvestido+AporteInvestido*12*$B56</f>
        <v/>
      </c>
      <c r="D56" s="35">
        <f>FV(CenarioTaxaMensal,$B56*12,-AporteInvestido,-AporteInicialInvestido,0)</f>
        <v/>
      </c>
      <c r="E56" s="35">
        <f>FV(CenarioTaxaMensal,$B56*12,-AporteInvestido,-(AporteInicialInvestido+EnvelopeReserva),0)</f>
        <v/>
      </c>
      <c r="F56" s="58">
        <f>E56-D56</f>
        <v/>
      </c>
      <c r="G56" s="45">
        <f>$B56*12</f>
        <v/>
      </c>
      <c r="H56" s="59">
        <f>IF(C56=0,0,E56/C56-1)</f>
        <v/>
      </c>
    </row>
    <row r="57" ht="18" customHeight="1">
      <c r="B57" s="54" t="n">
        <v>25</v>
      </c>
      <c r="C57" s="35">
        <f>AporteInicialInvestido+AporteInvestido*12*$B57</f>
        <v/>
      </c>
      <c r="D57" s="35">
        <f>FV(CenarioTaxaMensal,$B57*12,-AporteInvestido,-AporteInicialInvestido,0)</f>
        <v/>
      </c>
      <c r="E57" s="35">
        <f>FV(CenarioTaxaMensal,$B57*12,-AporteInvestido,-(AporteInicialInvestido+EnvelopeReserva),0)</f>
        <v/>
      </c>
      <c r="F57" s="58">
        <f>E57-D57</f>
        <v/>
      </c>
      <c r="G57" s="45">
        <f>$B57*12</f>
        <v/>
      </c>
      <c r="H57" s="59">
        <f>IF(C57=0,0,E57/C57-1)</f>
        <v/>
      </c>
    </row>
    <row r="58" ht="18" customHeight="1">
      <c r="B58" s="54" t="n">
        <v>30</v>
      </c>
      <c r="C58" s="35">
        <f>AporteInicialInvestido+AporteInvestido*12*$B58</f>
        <v/>
      </c>
      <c r="D58" s="35">
        <f>FV(CenarioTaxaMensal,$B58*12,-AporteInvestido,-AporteInicialInvestido,0)</f>
        <v/>
      </c>
      <c r="E58" s="35">
        <f>FV(CenarioTaxaMensal,$B58*12,-AporteInvestido,-(AporteInicialInvestido+EnvelopeReserva),0)</f>
        <v/>
      </c>
      <c r="F58" s="58">
        <f>E58-D58</f>
        <v/>
      </c>
      <c r="G58" s="45">
        <f>$B58*12</f>
        <v/>
      </c>
      <c r="H58" s="59">
        <f>IF(C58=0,0,E58/C58-1)</f>
        <v/>
      </c>
    </row>
    <row r="59" ht="8" customHeight="1"/>
    <row r="60" ht="26" customHeight="1">
      <c r="B60" s="60" t="inlineStr">
        <is>
          <t>P4 • Patrimônio projetado no horizonte (VF)</t>
        </is>
      </c>
      <c r="D60" s="61">
        <f>FV(CenarioTaxaMensal,CenarioAnos*12,-AporteInvestido,-(AporteInicialInvestido+EnvelopeInvestido),0)</f>
        <v/>
      </c>
      <c r="E60" s="21" t="inlineStr">
        <is>
          <t>O número que fecha o desafio: seu aporte mensal virando patrimônio pelo VF, no horizonte escolhido.</t>
        </is>
      </c>
    </row>
    <row r="61" ht="22" customHeight="1">
      <c r="B61" s="60" t="inlineStr">
        <is>
          <t>Ganho da reserva de oportunidade (S − N)</t>
        </is>
      </c>
      <c r="D61" s="62">
        <f>FV(CenarioTaxaMensal,CenarioAnos*12,-AporteInvestido,-(AporteInicialInvestido+EnvelopeReserva),0)-FV(CenarioTaxaMensal,CenarioAnos*12,-AporteInvestido,-AporteInicialInvestido,0)</f>
        <v/>
      </c>
      <c r="E61" s="21" t="inlineStr">
        <is>
          <t>Quanto o dinheiro guardado para as quedas agrega de patrimônio — o valor de escolher comprar na baixa.</t>
        </is>
      </c>
    </row>
    <row r="62" ht="22" customHeight="1">
      <c r="B62" s="60" t="inlineStr">
        <is>
          <t>Retorno total sobre o valor investido</t>
        </is>
      </c>
      <c r="D62" s="63">
        <f>$D$60/(AporteInicialInvestido+AporteInvestido*12*CenarioAnos)-1</f>
        <v/>
      </c>
      <c r="E62" s="21" t="inlineStr">
        <is>
          <t>Quanto o patrimônio cresceu acima de tudo o que você aportou (juros compostos trabalhando).</t>
        </is>
      </c>
    </row>
    <row r="63" ht="22" customHeight="1">
      <c r="B63" s="60" t="inlineStr">
        <is>
          <t>Dividendos do último ano do horizonte</t>
        </is>
      </c>
      <c r="D63" s="62">
        <f>$L$21</f>
        <v/>
      </c>
      <c r="E63" s="21" t="inlineStr">
        <is>
          <t>Sua renda passiva anual estimada no fim do horizonte — a prova de que o aporte virou fluxo de caixa.</t>
        </is>
      </c>
    </row>
    <row r="64" ht="14" customHeight="1">
      <c r="B64" s="21" t="inlineStr">
        <is>
          <t>Conferência: a linha do horizonte escolhido na tabela P4 acima deve trazer praticamente estes números.</t>
        </is>
      </c>
    </row>
    <row r="66" ht="14" customHeight="1">
      <c r="B66" s="21" t="inlineStr">
        <is>
          <t>VF (valor futuro) no formato do Excel: =VF(taxa;nper;pgto;[vp];[tipo]) — aqui com pagamentos no fim do período (tipo 0). Os aportes mensais entram como negativo porque são saídas de caixa; o patrimônio volta positivo.</t>
        </is>
      </c>
    </row>
    <row r="67">
      <c r="B67" s="64" t="inlineStr">
        <is>
          <t>Legenda:  fundo azul = entrada (Parâmetros)   •   fundo verde-claro = cálculo automático</t>
        </is>
      </c>
    </row>
  </sheetData>
  <mergeCells count="18">
    <mergeCell ref="K16:L16"/>
    <mergeCell ref="B2:M2"/>
    <mergeCell ref="B5:D5"/>
    <mergeCell ref="B62:C62"/>
    <mergeCell ref="E60:I60"/>
    <mergeCell ref="B15:I15"/>
    <mergeCell ref="B3:M3"/>
    <mergeCell ref="B64:I64"/>
    <mergeCell ref="E62:I62"/>
    <mergeCell ref="B61:C61"/>
    <mergeCell ref="E63:I63"/>
    <mergeCell ref="B60:C60"/>
    <mergeCell ref="B66:I66"/>
    <mergeCell ref="E5:I5"/>
    <mergeCell ref="B63:C63"/>
    <mergeCell ref="E61:I61"/>
    <mergeCell ref="B49:I49"/>
    <mergeCell ref="B50:I50"/>
  </mergeCells>
  <conditionalFormatting sqref="B17:I46">
    <cfRule type="expression" priority="1" dxfId="0" stopIfTrue="0">
      <formula>$B17&gt;CenarioAnos</formula>
    </cfRule>
  </conditionalFormatting>
  <conditionalFormatting sqref="C17:C46">
    <cfRule type="dataBar" priority="2">
      <dataBar showValue="1">
        <cfvo type="num" val="0"/>
        <cfvo type="max"/>
        <color rgb="0000A868"/>
      </dataBar>
    </cfRule>
  </conditionalFormatting>
  <conditionalFormatting sqref="E17:E46">
    <cfRule type="dataBar" priority="3">
      <dataBar showValue="1">
        <cfvo type="num" val="0"/>
        <cfvo type="max"/>
        <color rgb="004C9A8B"/>
      </dataBar>
    </cfRule>
  </conditionalFormatting>
  <conditionalFormatting sqref="F52:F58">
    <cfRule type="dataBar" priority="4">
      <dataBar showValue="1">
        <cfvo type="num" val="0"/>
        <cfvo type="max"/>
        <color rgb="00F0B429"/>
      </dataBar>
    </cfRule>
  </conditionalFormatting>
  <printOptions horizontalCentered="1"/>
  <pageMargins left="0.4" right="0.4" top="0.5" bottom="0.5" header="0.5" footer="0.5"/>
  <pageSetup orientation="landscape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3F7D8C"/>
    <outlinePr summaryBelow="1" summaryRight="1"/>
    <pageSetUpPr fitToPage="1"/>
  </sheetPr>
  <dimension ref="B2:L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17" customWidth="1" min="4" max="4"/>
    <col width="17" customWidth="1" min="5" max="5"/>
    <col width="11" customWidth="1" min="6" max="6"/>
    <col width="17" customWidth="1" min="7" max="7"/>
    <col width="22" customWidth="1" min="8" max="8"/>
    <col width="2" customWidth="1" min="9" max="9"/>
    <col width="40" customWidth="1" min="10" max="10"/>
    <col width="15" customWidth="1" min="11" max="11"/>
    <col width="12" customWidth="1" min="12" max="12"/>
  </cols>
  <sheetData>
    <row r="2" ht="30" customHeight="1">
      <c r="B2" s="20" t="inlineStr">
        <is>
          <t>CARTEIRA — DIVISÃO DO APORTE POR CLASSE DE FII  (Passo 5)</t>
        </is>
      </c>
    </row>
    <row r="3" ht="14" customHeight="1">
      <c r="B3" s="21" t="inlineStr">
        <is>
          <t>O aporte do perfil (PROCV) é dividido entre as classes. Os dividendos usam o Dividend Yield de cada classe — a estimativa serve para dimensionar metas, não é garantia.</t>
        </is>
      </c>
    </row>
    <row r="5" ht="22" customHeight="1">
      <c r="B5" s="65" t="inlineStr">
        <is>
          <t>Classe de FII</t>
        </is>
      </c>
      <c r="C5" s="65" t="inlineStr">
        <is>
          <t>% do aporte</t>
        </is>
      </c>
      <c r="D5" s="65" t="inlineStr">
        <is>
          <t>Aporte inicial (R$)</t>
        </is>
      </c>
      <c r="E5" s="65" t="inlineStr">
        <is>
          <t>Aporte mensal (R$)</t>
        </is>
      </c>
      <c r="F5" s="65" t="inlineStr">
        <is>
          <t>DY mensal</t>
        </is>
      </c>
      <c r="G5" s="65" t="inlineStr">
        <is>
          <t>Dividendos estimados (R$/mês)</t>
        </is>
      </c>
      <c r="H5" s="65" t="inlineStr">
        <is>
          <t>Conferência: % da carteira</t>
        </is>
      </c>
      <c r="J5" s="3" t="inlineStr">
        <is>
          <t>APOIO — PROCV</t>
        </is>
      </c>
    </row>
    <row r="6" ht="19" customHeight="1">
      <c r="B6" s="12" t="inlineStr">
        <is>
          <t>FIIs de Tijolo (shoppings, galpões, lajes)</t>
        </is>
      </c>
      <c r="C6" s="28" t="n">
        <v>0.6</v>
      </c>
      <c r="D6" s="35">
        <f>AporteInicial*$C6*PercentualInvestido</f>
        <v/>
      </c>
      <c r="E6" s="35">
        <f>$K$9*$C6</f>
        <v/>
      </c>
      <c r="F6" s="23" t="n">
        <v>0.006</v>
      </c>
      <c r="G6" s="35">
        <f>$E6*$F6</f>
        <v/>
      </c>
      <c r="H6" s="44">
        <f>IF(SUM($E$6:$E$8)=0,0,$E6/SUM($E$6:$E$8))</f>
        <v/>
      </c>
      <c r="J6" s="66" t="inlineStr">
        <is>
          <t>Perfil selecionado (Parâmetros)</t>
        </is>
      </c>
      <c r="K6" s="67">
        <f>Perfil</f>
        <v/>
      </c>
    </row>
    <row r="7" ht="19" customHeight="1">
      <c r="B7" s="12" t="inlineStr">
        <is>
          <t>FIIs de Papel (CRI, recebíveis)</t>
        </is>
      </c>
      <c r="C7" s="28" t="n">
        <v>0.3</v>
      </c>
      <c r="D7" s="35">
        <f>AporteInicial*$C7*PercentualInvestido</f>
        <v/>
      </c>
      <c r="E7" s="35">
        <f>$K$9*$C7</f>
        <v/>
      </c>
      <c r="F7" s="23" t="n">
        <v>0.01</v>
      </c>
      <c r="G7" s="35">
        <f>$E7*$F7</f>
        <v/>
      </c>
      <c r="H7" s="44">
        <f>IF(SUM($E$6:$E$8)=0,0,$E7/SUM($E$6:$E$8))</f>
        <v/>
      </c>
      <c r="J7" s="66" t="inlineStr">
        <is>
          <t>Aporte mensal do perfil — PROCV</t>
        </is>
      </c>
      <c r="K7" s="8">
        <f>VLOOKUP(Perfil,TabelaPerfis,3,0)</f>
        <v/>
      </c>
    </row>
    <row r="8" ht="19" customHeight="1">
      <c r="B8" s="12" t="inlineStr">
        <is>
          <t>Híbridos e Fundos de Fundos</t>
        </is>
      </c>
      <c r="C8" s="28" t="n">
        <v>0.1</v>
      </c>
      <c r="D8" s="35">
        <f>AporteInicial*$C8*PercentualInvestido</f>
        <v/>
      </c>
      <c r="E8" s="35">
        <f>$K$9*$C8</f>
        <v/>
      </c>
      <c r="F8" s="23" t="n">
        <v>0.008</v>
      </c>
      <c r="G8" s="35">
        <f>$E8*$F8</f>
        <v/>
      </c>
      <c r="H8" s="44">
        <f>IF(SUM($E$6:$E$8)=0,0,$E8/SUM($E$6:$E$8))</f>
        <v/>
      </c>
      <c r="J8" s="66" t="inlineStr">
        <is>
          <t>Percentual investido em FIIs (P4)</t>
        </is>
      </c>
      <c r="K8" s="68">
        <f>PercentualInvestido</f>
        <v/>
      </c>
    </row>
    <row r="9" ht="19" customHeight="1">
      <c r="B9" s="69" t="inlineStr">
        <is>
          <t>TOTAL DA CARTEIRA</t>
        </is>
      </c>
      <c r="C9" s="70">
        <f>SUM($C$6:$C$8)</f>
        <v/>
      </c>
      <c r="D9" s="71">
        <f>SUM($D$6:$D$8)</f>
        <v/>
      </c>
      <c r="E9" s="71">
        <f>SUM($E$6:$E$8)</f>
        <v/>
      </c>
      <c r="F9" s="72">
        <f>SUMPRODUCT($F$6:$F$8,$E$6:$E$8)/$E$9</f>
        <v/>
      </c>
      <c r="G9" s="71">
        <f>SUM($G$6:$G$8)</f>
        <v/>
      </c>
      <c r="H9" s="70">
        <f>SUM($H$6:$H$8)</f>
        <v/>
      </c>
      <c r="J9" s="66" t="inlineStr">
        <is>
          <t>Aporte mensal investido (base da divisão)</t>
        </is>
      </c>
      <c r="K9" s="8">
        <f>$K$7*$K$8</f>
        <v/>
      </c>
    </row>
    <row r="10" ht="19" customHeight="1">
      <c r="J10" s="66" t="inlineStr">
        <is>
          <t>Reserva de oportunidade mensal</t>
        </is>
      </c>
      <c r="K10" s="8">
        <f>$K$7-$K$9</f>
        <v/>
      </c>
    </row>
    <row r="11" ht="14" customHeight="1">
      <c r="B11" s="21" t="inlineStr">
        <is>
          <t>DY por classe: tijolo ≈ 0,60%/mês • papel ≈ 1,00%/mês • híbridos ≈ 0,80%/mês (médias de referência — ajuste na coluna DY).</t>
        </is>
      </c>
      <c r="J11" s="66" t="inlineStr">
        <is>
          <t>Reserva acumulada em 12 meses</t>
        </is>
      </c>
      <c r="K11" s="8">
        <f>$K$10*12</f>
        <v/>
      </c>
    </row>
    <row r="12" ht="14" customHeight="1">
      <c r="B12" s="21" t="inlineStr">
        <is>
          <t>Dividendos de FIIs variam todo mês e não são garantidos: use a estimativa para planejar metas, e reinvestir os proventos para acelerar os juros compostos.</t>
        </is>
      </c>
      <c r="J12" s="66" t="inlineStr">
        <is>
          <t>Cotas compradas por mês (na cotação atual)</t>
        </is>
      </c>
      <c r="K12" s="73">
        <f>ROUNDDOWN($K$9/ValorFII,0)</f>
        <v/>
      </c>
    </row>
    <row r="13" ht="19" customHeight="1">
      <c r="J13" s="66" t="inlineStr">
        <is>
          <t>Dividendos estimados da carteira por mês</t>
        </is>
      </c>
      <c r="K13" s="8">
        <f>$G$9</f>
        <v/>
      </c>
    </row>
    <row r="14">
      <c r="B14" s="64" t="inlineStr">
        <is>
          <t>Legenda:  fundo azul = entrada (% e DY das classes)   •   fundo verde-claro = cálculo automático</t>
        </is>
      </c>
    </row>
  </sheetData>
  <mergeCells count="5">
    <mergeCell ref="J5:L5"/>
    <mergeCell ref="B12:H12"/>
    <mergeCell ref="B2:H2"/>
    <mergeCell ref="B11:H11"/>
    <mergeCell ref="B3:H3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2026-10-11T15:02:24Z</dcterms:created>
  <dcterms:modified xmlns:dcterms="http://purl.org/dc/terms/" xmlns:xsi="http://www.w3.org/2001/XMLSchema-instance" xsi:type="dcterms:W3CDTF">2026-10-11T15:02:24Z</dcterms:modified>
</cp:coreProperties>
</file>